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lara\claraAccessExcel\Final20202501\Excel Final\"/>
    </mc:Choice>
  </mc:AlternateContent>
  <xr:revisionPtr revIDLastSave="0" documentId="13_ncr:1_{E6E4F278-AB17-4A73-98E2-EF77330AD80E}" xr6:coauthVersionLast="41" xr6:coauthVersionMax="45" xr10:uidLastSave="{00000000-0000-0000-0000-000000000000}"/>
  <bookViews>
    <workbookView xWindow="-120" yWindow="-120" windowWidth="20730" windowHeight="11160" firstSheet="2" activeTab="2" xr2:uid="{BE08A7D6-A852-454E-98CE-15FE4FE64B8C}"/>
  </bookViews>
  <sheets>
    <sheet name="Menu" sheetId="2" r:id="rId1"/>
    <sheet name="Facture Client" sheetId="13" r:id="rId2"/>
    <sheet name="Historique Client" sheetId="4" r:id="rId3"/>
    <sheet name="Facture Musicien" sheetId="7" r:id="rId4"/>
    <sheet name="Gestion musiciens" sheetId="6" r:id="rId5"/>
    <sheet name="Billet" sheetId="1" r:id="rId6"/>
    <sheet name="Planning" sheetId="8" r:id="rId7"/>
    <sheet name="Paramètres" sheetId="9" r:id="rId8"/>
    <sheet name="Carte" sheetId="10" r:id="rId9"/>
    <sheet name="Hébergement" sheetId="11" r:id="rId10"/>
    <sheet name="Gestion Hébergement" sheetId="12" r:id="rId11"/>
  </sheets>
  <definedNames>
    <definedName name="liste_jour_source">Paramètres!$J$3:$J$5</definedName>
    <definedName name="liste_scene_source">Paramètres!$I$3:$I$5</definedName>
    <definedName name="lste_horaire_source">Paramètres!$K$3:$K$8</definedName>
    <definedName name="message_mail">Paramètres!$C$12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Planning!$B$9:$E$14</definedName>
    <definedName name="ref_artiste_source">Paramètres!$F$3:$F$33</definedName>
    <definedName name="source_horaire">'Gestion musiciens'!$Q$2:$X$2</definedName>
    <definedName name="source_qte_autorise">Paramètres!$B$3:$B$6</definedName>
    <definedName name="source_type_billet">Billet!$A$3:$A$14</definedName>
    <definedName name="sujet_mail">Paramètres!$C$10</definedName>
    <definedName name="type_hebergement_source">Hébergement!$A$2:$A$4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5" i="13" l="1" a="1"/>
  <c r="G25" i="13" s="1"/>
  <c r="G20" i="13" a="1"/>
  <c r="G20" i="13" s="1"/>
  <c r="C3" i="11" l="1"/>
  <c r="E3" i="11" s="1"/>
  <c r="C2" i="11"/>
  <c r="E2" i="11" s="1"/>
  <c r="E8" i="11"/>
  <c r="D16" i="11" l="1"/>
  <c r="C17" i="11"/>
  <c r="C16" i="11"/>
  <c r="C15" i="11"/>
  <c r="B16" i="11"/>
  <c r="B15" i="11"/>
  <c r="E9" i="11"/>
  <c r="E10" i="11"/>
  <c r="E7" i="11"/>
  <c r="D15" i="11" s="1"/>
  <c r="B10" i="11"/>
  <c r="C4" i="11" s="1"/>
  <c r="E4" i="11" s="1"/>
  <c r="B15" i="1"/>
  <c r="B11" i="11"/>
  <c r="H15" i="1"/>
  <c r="H3" i="1"/>
  <c r="H4" i="1"/>
  <c r="H5" i="1"/>
  <c r="H6" i="1"/>
  <c r="H7" i="1"/>
  <c r="H8" i="1"/>
  <c r="H9" i="1"/>
  <c r="H10" i="1"/>
  <c r="H11" i="1"/>
  <c r="H12" i="1"/>
  <c r="H13" i="1"/>
  <c r="H14" i="1"/>
  <c r="D17" i="11" l="1"/>
  <c r="E11" i="11"/>
  <c r="D11" i="11"/>
  <c r="C15" i="1" l="1"/>
  <c r="P3" i="4"/>
  <c r="F14" i="1" l="1"/>
  <c r="F13" i="1"/>
  <c r="F12" i="1"/>
  <c r="F11" i="1"/>
  <c r="F10" i="1"/>
  <c r="F9" i="1"/>
  <c r="F8" i="1"/>
  <c r="F7" i="1"/>
  <c r="F6" i="1"/>
  <c r="F5" i="1"/>
  <c r="F4" i="1"/>
  <c r="F3" i="1"/>
  <c r="G27" i="13"/>
  <c r="G26" i="1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<sst xmlns="http://schemas.openxmlformats.org/spreadsheetml/2006/main" count="496" uniqueCount="274">
  <si>
    <t>Type_Billet</t>
  </si>
  <si>
    <t>Prix</t>
  </si>
  <si>
    <t>Disponible</t>
  </si>
  <si>
    <t>ref</t>
  </si>
  <si>
    <t>vente</t>
  </si>
  <si>
    <t>Reste</t>
  </si>
  <si>
    <t>pass_vendredi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</si>
  <si>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</si>
  <si>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</si>
  <si>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</si>
  <si>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</si>
  <si>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</si>
  <si>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</si>
  <si>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</si>
  <si>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</si>
  <si>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</si>
  <si>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</si>
  <si>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</si>
  <si>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</si>
  <si>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</si>
  <si>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</si>
  <si>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</si>
  <si>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</si>
  <si>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</si>
  <si>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</si>
  <si>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</si>
  <si>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</si>
  <si>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</si>
  <si>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</si>
  <si>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</si>
  <si>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</si>
  <si>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</si>
  <si>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</si>
  <si>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</si>
  <si>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</si>
  <si>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</si>
  <si>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</si>
  <si>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</si>
  <si>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</si>
  <si>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</si>
  <si>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</si>
  <si>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</si>
  <si>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</si>
  <si>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</si>
  <si>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</si>
  <si>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</si>
  <si>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</si>
  <si>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</si>
  <si>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</si>
  <si>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</si>
  <si>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>vendredi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</si>
  <si>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</si>
  <si>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</si>
  <si>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</si>
  <si>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</si>
  <si>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</si>
  <si>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</si>
  <si>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</si>
  <si>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</si>
  <si>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</si>
  <si>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</si>
  <si>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</si>
  <si>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</si>
  <si>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samedi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</si>
  <si>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</si>
  <si>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</si>
  <si>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</si>
  <si>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</si>
  <si>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</si>
  <si>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</si>
  <si>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</si>
  <si>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</si>
  <si>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</si>
  <si>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</si>
  <si>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</si>
  <si>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</si>
  <si>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dimanche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</si>
  <si>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</si>
  <si>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</si>
  <si>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</si>
  <si>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</si>
  <si>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</si>
  <si>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</si>
  <si>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</si>
  <si>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</si>
  <si>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</si>
  <si>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</si>
  <si>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</si>
  <si>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</si>
  <si>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</si>
  <si>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</si>
  <si>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</si>
  <si>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</si>
  <si>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</si>
  <si>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</si>
  <si>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</si>
  <si>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</si>
  <si>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</si>
  <si>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</si>
  <si>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</si>
  <si>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</si>
  <si>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Benevole</t>
  </si>
  <si>
    <t>3</t>
  </si>
  <si>
    <t>3000</t>
  </si>
  <si>
    <t>nb accompagnant</t>
  </si>
  <si>
    <t>Horraire</t>
  </si>
  <si>
    <t>5</t>
  </si>
  <si>
    <t>15000</t>
  </si>
  <si>
    <t>2000</t>
  </si>
  <si>
    <t>Repas</t>
  </si>
  <si>
    <t>2</t>
  </si>
  <si>
    <t>envoyer par mail</t>
  </si>
  <si>
    <t>fermer</t>
  </si>
  <si>
    <t>modifier</t>
  </si>
  <si>
    <t>6</t>
  </si>
  <si>
    <t>6000</t>
  </si>
  <si>
    <t>1000</t>
  </si>
  <si>
    <t>500</t>
  </si>
  <si>
    <t>Micro</t>
  </si>
  <si>
    <t>1</t>
  </si>
  <si>
    <t>Salle de repos</t>
  </si>
  <si>
    <t>equipe back</t>
  </si>
  <si>
    <t>Planning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</si>
  <si>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</si>
  <si>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</si>
  <si>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</si>
  <si>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</si>
  <si>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</si>
  <si>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</si>
  <si>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</si>
  <si>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</si>
  <si>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</si>
  <si>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</si>
  <si>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Modifier facture</t>
  </si>
  <si>
    <t>Retour</t>
  </si>
  <si>
    <t>Impression Facture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</si>
  <si>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</si>
  <si>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</si>
  <si>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</si>
  <si>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</si>
  <si>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</si>
  <si>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</si>
  <si>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</si>
  <si>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</si>
  <si>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</si>
  <si>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</si>
  <si>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Total Hébergement</t>
  </si>
  <si>
    <t>Nb Disponible</t>
  </si>
  <si>
    <t>Réservé</t>
  </si>
  <si>
    <t>Coût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</si>
  <si>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</si>
  <si>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</si>
  <si>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</si>
  <si>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</si>
  <si>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</si>
  <si>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</si>
  <si>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</si>
  <si>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</si>
  <si>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</si>
  <si>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</si>
  <si>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</si>
  <si>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</si>
  <si>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</si>
  <si>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</si>
  <si>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</si>
  <si>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</si>
  <si>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</si>
  <si>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</si>
  <si>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</si>
  <si>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</si>
  <si>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</si>
  <si>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</si>
  <si>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</si>
  <si>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</si>
  <si>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</si>
  <si>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</si>
  <si>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</si>
  <si>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</si>
  <si>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</si>
  <si>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</si>
  <si>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</si>
  <si>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</si>
  <si>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</si>
  <si>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</si>
  <si>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</si>
  <si>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</si>
  <si>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</si>
  <si>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</si>
  <si>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</si>
  <si>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</si>
  <si>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</si>
  <si>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</si>
  <si>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</si>
  <si>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</si>
  <si>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</si>
  <si>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</si>
  <si>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</si>
  <si>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</si>
  <si>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</si>
  <si>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</si>
  <si>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</si>
  <si>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</si>
  <si>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</si>
  <si>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</si>
  <si>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</si>
  <si>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</si>
  <si>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</si>
  <si>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</si>
  <si>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</si>
  <si>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</si>
  <si>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</si>
  <si>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</si>
  <si>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</si>
  <si>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</si>
  <si>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</si>
  <si>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</si>
  <si>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</si>
  <si>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</si>
  <si>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</si>
  <si>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</si>
  <si>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</si>
  <si>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</si>
  <si>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</si>
  <si>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</si>
  <si>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</si>
  <si>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</si>
  <si>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</si>
  <si>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</si>
  <si>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</si>
  <si>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</si>
  <si>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</si>
  <si>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</si>
  <si>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</si>
  <si>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</si>
  <si>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</si>
  <si>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Libre A</t>
  </si>
  <si>
    <t>Libre B</t>
  </si>
  <si>
    <t>Cout total</t>
  </si>
  <si>
    <t>Répartition hébergement</t>
  </si>
  <si>
    <t>Coût total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</si>
  <si>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</si>
  <si>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</si>
  <si>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</si>
  <si>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</si>
  <si>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</si>
  <si>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</si>
  <si>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</si>
  <si>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</si>
  <si>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</si>
  <si>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</si>
  <si>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</si>
  <si>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</si>
  <si>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</si>
  <si>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</si>
  <si>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</si>
  <si>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</si>
  <si>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</si>
  <si>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</si>
  <si>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</si>
  <si>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</si>
  <si>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</si>
  <si>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</si>
  <si>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>Choix</t>
  </si>
  <si>
    <t>Musicien</t>
  </si>
  <si>
    <t>Programmation</t>
  </si>
  <si>
    <t>Budget</t>
  </si>
  <si>
    <t>Frais offert</t>
  </si>
  <si>
    <t/>
  </si>
  <si>
    <t>+</t>
  </si>
  <si>
    <t>Quantités autorisés billets</t>
  </si>
  <si>
    <t>Sujet mail</t>
  </si>
  <si>
    <t>Facture SunFest</t>
  </si>
  <si>
    <t>Message</t>
  </si>
  <si>
    <t>Bonjour, vous vous apprêtez  à vivre une expérience inédite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</si>
</sst>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70DA4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/>
      <bottom/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0">
    <xf numFmtId="0" fontId="0" fillId="0" borderId="0" xfId="0"/>
    <xf numFmtId="0" fontId="0" fillId="2" borderId="1" xfId="0" applyFill="1" applyBorder="1"/>
    <xf numFmtId="0" fontId="0" fillId="0" borderId="1" xfId="0" applyBorder="1"/>
    <xf numFmtId="165" fontId="0" fillId="0" borderId="1" xfId="0" applyNumberFormat="1" applyBorder="1"/>
    <xf numFmtId="0" fontId="0" fillId="3" borderId="1" xfId="0" applyFill="1" applyBorder="1"/>
    <xf numFmtId="0" fontId="0" fillId="2" borderId="1" xfId="0" applyFill="1" applyBorder="1" applyAlignment="1">
      <alignment wrapText="1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164" fontId="0" fillId="0" borderId="11" xfId="1" applyFont="1" applyBorder="1"/>
    <xf numFmtId="164" fontId="0" fillId="0" borderId="12" xfId="1" applyFont="1" applyBorder="1"/>
    <xf numFmtId="164" fontId="0" fillId="0" borderId="14" xfId="1" applyFont="1" applyBorder="1"/>
    <xf numFmtId="0" fontId="0" fillId="0" borderId="15" xfId="0" applyBorder="1"/>
    <xf numFmtId="0" fontId="0" fillId="0" borderId="16" xfId="0" applyBorder="1"/>
    <xf numFmtId="164" fontId="0" fillId="0" borderId="16" xfId="1" applyFont="1" applyBorder="1"/>
    <xf numFmtId="164" fontId="0" fillId="0" borderId="9" xfId="1" applyFont="1" applyBorder="1"/>
    <xf numFmtId="164" fontId="0" fillId="0" borderId="0" xfId="1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164" fontId="0" fillId="0" borderId="26" xfId="1" applyFont="1" applyBorder="1"/>
    <xf numFmtId="164" fontId="0" fillId="0" borderId="24" xfId="1" applyFont="1" applyBorder="1"/>
    <xf numFmtId="164" fontId="0" fillId="0" borderId="23" xfId="1" applyFon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2" borderId="31" xfId="0" applyFill="1" applyBorder="1"/>
    <xf numFmtId="0" fontId="0" fillId="4" borderId="1" xfId="0" applyFill="1" applyBorder="1"/>
    <xf numFmtId="166" fontId="0" fillId="2" borderId="1" xfId="0" applyNumberFormat="1" applyFill="1" applyBorder="1"/>
    <xf numFmtId="166" fontId="0" fillId="0" borderId="1" xfId="0" applyNumberFormat="1" applyBorder="1"/>
    <xf numFmtId="166" fontId="0" fillId="4" borderId="1" xfId="0" applyNumberFormat="1" applyFill="1" applyBorder="1"/>
    <xf numFmtId="0" fontId="0" fillId="5" borderId="20" xfId="0" applyFill="1" applyBorder="1" applyAlignment="1">
      <alignment horizontal="left"/>
    </xf>
    <xf numFmtId="0" fontId="0" fillId="5" borderId="33" xfId="0" applyFill="1" applyBorder="1" applyAlignment="1">
      <alignment horizontal="left"/>
    </xf>
    <xf numFmtId="0" fontId="0" fillId="5" borderId="18" xfId="0" applyFill="1" applyBorder="1" applyAlignment="1">
      <alignment horizontal="right"/>
    </xf>
    <xf numFmtId="0" fontId="0" fillId="5" borderId="32" xfId="0" applyFill="1" applyBorder="1" applyAlignment="1">
      <alignment horizontal="right"/>
    </xf>
    <xf numFmtId="0" fontId="0" fillId="6" borderId="32" xfId="0" applyFill="1" applyBorder="1" applyAlignment="1">
      <alignment horizontal="right"/>
    </xf>
    <xf numFmtId="0" fontId="0" fillId="6" borderId="20" xfId="0" applyFill="1" applyBorder="1" applyAlignment="1">
      <alignment horizontal="left"/>
    </xf>
    <xf numFmtId="0" fontId="0" fillId="6" borderId="18" xfId="0" applyFill="1" applyBorder="1" applyAlignment="1">
      <alignment horizontal="right"/>
    </xf>
    <xf numFmtId="0" fontId="0" fillId="6" borderId="33" xfId="0" applyFill="1" applyBorder="1" applyAlignment="1">
      <alignment horizontal="left"/>
    </xf>
    <xf numFmtId="0" fontId="0" fillId="2" borderId="0" xfId="0" applyFill="1"/>
    <xf numFmtId="0" fontId="0" fillId="0" borderId="0" xfId="0" applyAlignment="1">
      <alignment vertical="center"/>
    </xf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31" xfId="0" applyFill="1" applyBorder="1"/>
    <xf numFmtId="0" fontId="0" fillId="0" borderId="1" xfId="0" applyBorder="1" applyAlignment="1"/>
    <xf numFmtId="0" fontId="0" fillId="0" borderId="34" xfId="0" applyBorder="1"/>
    <xf numFmtId="0" fontId="0" fillId="0" borderId="35" xfId="0" applyBorder="1"/>
    <xf numFmtId="0" fontId="0" fillId="0" borderId="14" xfId="0" applyBorder="1"/>
    <xf numFmtId="0" fontId="0" fillId="0" borderId="0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33" xfId="0" applyBorder="1"/>
    <xf numFmtId="0" fontId="0" fillId="0" borderId="3" xfId="0" applyBorder="1"/>
    <xf numFmtId="0" fontId="0" fillId="0" borderId="31" xfId="0" applyBorder="1"/>
    <xf numFmtId="0" fontId="0" fillId="6" borderId="43" xfId="0" applyFill="1" applyBorder="1"/>
    <xf numFmtId="0" fontId="0" fillId="7" borderId="43" xfId="0" applyFill="1" applyBorder="1"/>
    <xf numFmtId="0" fontId="0" fillId="0" borderId="44" xfId="0" applyBorder="1"/>
    <xf numFmtId="0" fontId="3" fillId="8" borderId="42" xfId="0" applyFont="1" applyFill="1" applyBorder="1"/>
    <xf numFmtId="0" fontId="0" fillId="4" borderId="43" xfId="0" applyFill="1" applyBorder="1"/>
    <xf numFmtId="0" fontId="0" fillId="8" borderId="43" xfId="0" applyFill="1" applyBorder="1"/>
    <xf numFmtId="0" fontId="0" fillId="4" borderId="34" xfId="0" applyFill="1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20" xfId="0" applyFill="1" applyBorder="1" applyAlignment="1">
      <alignment horizont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mruColors>
      <color rgb="FFE70D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0</xdr:rowOff>
        </xdr:from>
        <xdr:to>
          <xdr:col>3</xdr:col>
          <xdr:colOff>752475</xdr:colOff>
          <xdr:row>7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342901</xdr:colOff>
      <xdr:row>2</xdr:row>
      <xdr:rowOff>144780</xdr:rowOff>
    </xdr:from>
    <xdr:to>
      <xdr:col>2</xdr:col>
      <xdr:colOff>541021</xdr:colOff>
      <xdr:row>5</xdr:row>
      <xdr:rowOff>144780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1396306">
          <a:off x="1135381" y="518160"/>
          <a:ext cx="990600" cy="548640"/>
        </a:xfrm>
        <a:prstGeom prst="ellipse">
          <a:avLst/>
        </a:prstGeom>
        <a:ln>
          <a:solidFill>
            <a:srgbClr val="E70DA4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SUNFEST</a:t>
          </a:r>
        </a:p>
      </xdr:txBody>
    </xdr:sp>
    <xdr:clientData/>
  </xdr:twoCellAnchor>
  <xdr:twoCellAnchor>
    <xdr:from>
      <xdr:col>4</xdr:col>
      <xdr:colOff>373380</xdr:colOff>
      <xdr:row>1</xdr:row>
      <xdr:rowOff>106680</xdr:rowOff>
    </xdr:from>
    <xdr:to>
      <xdr:col>6</xdr:col>
      <xdr:colOff>297180</xdr:colOff>
      <xdr:row>4</xdr:row>
      <xdr:rowOff>99060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543300" y="297180"/>
          <a:ext cx="1508760" cy="54102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342901</xdr:colOff>
      <xdr:row>2</xdr:row>
      <xdr:rowOff>144780</xdr:rowOff>
    </xdr:from>
    <xdr:to>
      <xdr:col>2</xdr:col>
      <xdr:colOff>541021</xdr:colOff>
      <xdr:row>5</xdr:row>
      <xdr:rowOff>144780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21396306">
          <a:off x="1135381" y="518160"/>
          <a:ext cx="990600" cy="548640"/>
        </a:xfrm>
        <a:prstGeom prst="ellipse">
          <a:avLst/>
        </a:prstGeom>
        <a:ln>
          <a:solidFill>
            <a:srgbClr val="E70DA4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SUNFEST</a:t>
          </a:r>
        </a:p>
      </xdr:txBody>
    </xdr:sp>
    <xdr:clientData/>
  </xdr:twoCellAnchor>
  <xdr:twoCellAnchor>
    <xdr:from>
      <xdr:col>4</xdr:col>
      <xdr:colOff>373380</xdr:colOff>
      <xdr:row>1</xdr:row>
      <xdr:rowOff>106680</xdr:rowOff>
    </xdr:from>
    <xdr:to>
      <xdr:col>6</xdr:col>
      <xdr:colOff>297180</xdr:colOff>
      <xdr:row>4</xdr:row>
      <xdr:rowOff>99060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543300" y="297180"/>
          <a:ext cx="1508760" cy="54102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15</xdr:row>
          <xdr:rowOff>104775</xdr:rowOff>
        </xdr:from>
        <xdr:to>
          <xdr:col>8</xdr:col>
          <xdr:colOff>485775</xdr:colOff>
          <xdr:row>18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8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661851</xdr:colOff>
      <xdr:row>0</xdr:row>
      <xdr:rowOff>0</xdr:rowOff>
    </xdr:from>
    <xdr:to>
      <xdr:col>5</xdr:col>
      <xdr:colOff>346166</xdr:colOff>
      <xdr:row>8</xdr:row>
      <xdr:rowOff>131717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751114</xdr:colOff>
      <xdr:row>8</xdr:row>
      <xdr:rowOff>47897</xdr:rowOff>
    </xdr:from>
    <xdr:to>
      <xdr:col>4</xdr:col>
      <xdr:colOff>618309</xdr:colOff>
      <xdr:row>18</xdr:row>
      <xdr:rowOff>54429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736419</xdr:colOff>
      <xdr:row>3</xdr:row>
      <xdr:rowOff>151311</xdr:rowOff>
    </xdr:from>
    <xdr:to>
      <xdr:col>4</xdr:col>
      <xdr:colOff>49531</xdr:colOff>
      <xdr:row>11</xdr:row>
      <xdr:rowOff>31569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687432</xdr:colOff>
      <xdr:row>7</xdr:row>
      <xdr:rowOff>30480</xdr:rowOff>
    </xdr:from>
    <xdr:to>
      <xdr:col>5</xdr:col>
      <xdr:colOff>59327</xdr:colOff>
      <xdr:row>11</xdr:row>
      <xdr:rowOff>84909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496389</xdr:colOff>
      <xdr:row>10</xdr:row>
      <xdr:rowOff>75111</xdr:rowOff>
    </xdr:from>
    <xdr:to>
      <xdr:col>7</xdr:col>
      <xdr:colOff>121920</xdr:colOff>
      <xdr:row>19</xdr:row>
      <xdr:rowOff>1089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713014</xdr:colOff>
      <xdr:row>3</xdr:row>
      <xdr:rowOff>97971</xdr:rowOff>
    </xdr:from>
    <xdr:to>
      <xdr:col>7</xdr:col>
      <xdr:colOff>529045</xdr:colOff>
      <xdr:row>13</xdr:row>
      <xdr:rowOff>150223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7</xdr:row>
      <xdr:rowOff>175260</xdr:rowOff>
    </xdr:from>
    <xdr:to>
      <xdr:col>2</xdr:col>
      <xdr:colOff>278674</xdr:colOff>
      <xdr:row>14</xdr:row>
      <xdr:rowOff>20683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306977</xdr:colOff>
      <xdr:row>9</xdr:row>
      <xdr:rowOff>111034</xdr:rowOff>
    </xdr:from>
    <xdr:to>
      <xdr:col>3</xdr:col>
      <xdr:colOff>372291</xdr:colOff>
      <xdr:row>18</xdr:row>
      <xdr:rowOff>54429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520337</xdr:colOff>
      <xdr:row>15</xdr:row>
      <xdr:rowOff>7620</xdr:rowOff>
    </xdr:from>
    <xdr:to>
      <xdr:col>4</xdr:col>
      <xdr:colOff>374469</xdr:colOff>
      <xdr:row>31</xdr:row>
      <xdr:rowOff>158931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107769</xdr:colOff>
      <xdr:row>16</xdr:row>
      <xdr:rowOff>117021</xdr:rowOff>
    </xdr:from>
    <xdr:to>
      <xdr:col>7</xdr:col>
      <xdr:colOff>228600</xdr:colOff>
      <xdr:row>26</xdr:row>
      <xdr:rowOff>161653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461554</xdr:colOff>
      <xdr:row>23</xdr:row>
      <xdr:rowOff>65314</xdr:rowOff>
    </xdr:from>
    <xdr:to>
      <xdr:col>5</xdr:col>
      <xdr:colOff>681446</xdr:colOff>
      <xdr:row>33</xdr:row>
      <xdr:rowOff>148046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391886</xdr:colOff>
      <xdr:row>22</xdr:row>
      <xdr:rowOff>154577</xdr:rowOff>
    </xdr:from>
    <xdr:to>
      <xdr:col>7</xdr:col>
      <xdr:colOff>518160</xdr:colOff>
      <xdr:row>31</xdr:row>
      <xdr:rowOff>34834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192677</xdr:colOff>
      <xdr:row>30</xdr:row>
      <xdr:rowOff>40277</xdr:rowOff>
    </xdr:from>
    <xdr:to>
      <xdr:col>8</xdr:col>
      <xdr:colOff>741317</xdr:colOff>
      <xdr:row>36</xdr:row>
      <xdr:rowOff>116477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207554</xdr:colOff>
      <xdr:row>21</xdr:row>
      <xdr:rowOff>18324</xdr:rowOff>
    </xdr:from>
    <xdr:to>
      <xdr:col>3</xdr:col>
      <xdr:colOff>483779</xdr:colOff>
      <xdr:row>24</xdr:row>
      <xdr:rowOff>48804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731554" y="4018824"/>
          <a:ext cx="1038225" cy="601980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Camping 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/>
  <dimension ref="A1"/>
  <sheetViews>
    <sheetView topLeftCell="B1" workbookViewId="0">
      <selection activeCell="F8" sqref="F8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Menu">
                <anchor moveWithCells="1" sizeWithCells="1">
                  <from>
                    <xdr:col>2</xdr:col>
                    <xdr:colOff>57150</xdr:colOff>
                    <xdr:row>3</xdr:row>
                    <xdr:rowOff>0</xdr:rowOff>
                  </from>
                  <to>
                    <xdr:col>3</xdr:col>
                    <xdr:colOff>752475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/>
  <dimension ref="B1:G31"/>
  <sheetViews>
    <sheetView topLeftCell="B1" workbookViewId="0">
      <selection activeCell="D15" sqref="D15"/>
    </sheetView>
  </sheetViews>
  <sheetFormatPr baseColWidth="10" defaultRowHeight="15" x14ac:dyDescent="0.25"/>
  <sheetData>
    <row r="1" spans="2:7" ht="15.75" thickBot="1" x14ac:dyDescent="0.3"/>
    <row r="2" spans="2:7" x14ac:dyDescent="0.25">
      <c r="B2" s="79" t="s">
        <v>261</v>
      </c>
      <c r="C2" s="61"/>
      <c r="D2" s="62"/>
      <c r="E2" s="62"/>
      <c r="F2" s="62"/>
      <c r="G2" s="13"/>
    </row>
    <row r="3" spans="2:7" x14ac:dyDescent="0.25">
      <c r="B3" s="18"/>
      <c r="C3" s="63"/>
      <c r="D3" s="63"/>
      <c r="E3" s="63"/>
      <c r="F3" s="63"/>
      <c r="G3" s="11"/>
    </row>
    <row r="4" spans="2:7" x14ac:dyDescent="0.25">
      <c r="B4" s="18"/>
      <c r="C4" s="63"/>
      <c r="D4" s="63"/>
      <c r="E4" s="63"/>
      <c r="F4" s="63"/>
      <c r="G4" s="11"/>
    </row>
    <row r="5" spans="2:7" x14ac:dyDescent="0.25">
      <c r="B5" s="18"/>
      <c r="C5" s="63"/>
      <c r="D5" s="63"/>
      <c r="E5" s="63"/>
      <c r="F5" s="63"/>
      <c r="G5" s="11"/>
    </row>
    <row r="6" spans="2:7" x14ac:dyDescent="0.25">
      <c r="B6" s="18"/>
      <c r="C6" s="63"/>
      <c r="D6" s="63"/>
      <c r="E6" s="2" t="s">
        <v>260</v>
      </c>
      <c r="F6" s="2"/>
      <c r="G6" s="11"/>
    </row>
    <row r="7" spans="2:7" x14ac:dyDescent="0.25">
      <c r="B7" s="18"/>
      <c r="C7" s="63"/>
      <c r="D7" s="63"/>
      <c r="E7" s="63"/>
      <c r="F7" s="63"/>
      <c r="G7" s="11"/>
    </row>
    <row r="8" spans="2:7" x14ac:dyDescent="0.25">
      <c r="B8" s="18"/>
      <c r="C8" s="80" t="s">
        <v>258</v>
      </c>
      <c r="D8" s="81"/>
      <c r="E8" s="81"/>
      <c r="F8" s="82"/>
      <c r="G8" s="11"/>
    </row>
    <row r="9" spans="2:7" x14ac:dyDescent="0.25">
      <c r="B9" s="18"/>
      <c r="C9" s="2" t="s">
        <v>23</v>
      </c>
      <c r="D9" s="80" t="s">
        <v>267</v>
      </c>
      <c r="E9" s="81"/>
      <c r="F9" s="82"/>
      <c r="G9" s="11"/>
    </row>
    <row r="10" spans="2:7" x14ac:dyDescent="0.25">
      <c r="B10" s="18"/>
      <c r="C10" s="2" t="s">
        <v>24</v>
      </c>
      <c r="D10" s="2" t="s">
        <v>267</v>
      </c>
      <c r="E10" s="2"/>
      <c r="F10" s="2"/>
      <c r="G10" s="11"/>
    </row>
    <row r="11" spans="2:7" x14ac:dyDescent="0.25">
      <c r="B11" s="18"/>
      <c r="C11" s="2" t="s">
        <v>25</v>
      </c>
      <c r="D11" s="2" t="s">
        <v>267</v>
      </c>
      <c r="E11" s="2"/>
      <c r="F11" s="2"/>
      <c r="G11" s="11"/>
    </row>
    <row r="12" spans="2:7" x14ac:dyDescent="0.25">
      <c r="B12" s="18"/>
      <c r="C12" s="2" t="s">
        <v>26</v>
      </c>
      <c r="D12" s="2" t="s">
        <v>267</v>
      </c>
      <c r="E12" s="2"/>
      <c r="F12" s="2"/>
      <c r="G12" s="11"/>
    </row>
    <row r="13" spans="2:7" x14ac:dyDescent="0.25">
      <c r="B13" s="18"/>
      <c r="C13" s="2" t="s">
        <v>259</v>
      </c>
      <c r="D13" s="2" t="s">
        <v>267</v>
      </c>
      <c r="E13" s="2"/>
      <c r="F13" s="2"/>
      <c r="G13" s="11"/>
    </row>
    <row r="14" spans="2:7" x14ac:dyDescent="0.25">
      <c r="B14" s="18"/>
      <c r="C14" s="2" t="s">
        <v>28</v>
      </c>
      <c r="D14" s="2" t="s">
        <v>267</v>
      </c>
      <c r="E14" s="2"/>
      <c r="F14" s="2"/>
      <c r="G14" s="11"/>
    </row>
    <row r="15" spans="2:7" x14ac:dyDescent="0.25">
      <c r="B15" s="18"/>
      <c r="C15" s="58" t="s">
        <v>27</v>
      </c>
      <c r="D15" s="63" t="s">
        <v>267</v>
      </c>
      <c r="E15" s="63"/>
      <c r="F15" s="63"/>
      <c r="G15" s="11"/>
    </row>
    <row r="16" spans="2:7" x14ac:dyDescent="0.25">
      <c r="B16" s="18"/>
      <c r="C16" s="63"/>
      <c r="D16" s="63"/>
      <c r="E16" s="63"/>
      <c r="F16" s="63"/>
      <c r="G16" s="11"/>
    </row>
    <row r="17" spans="2:7" x14ac:dyDescent="0.25">
      <c r="B17" s="18"/>
      <c r="C17" s="80" t="s">
        <v>29</v>
      </c>
      <c r="D17" s="81"/>
      <c r="E17" s="81"/>
      <c r="F17" s="82"/>
      <c r="G17" s="11"/>
    </row>
    <row r="18" spans="2:7" x14ac:dyDescent="0.25">
      <c r="B18" s="18"/>
      <c r="C18" s="2" t="s">
        <v>30</v>
      </c>
      <c r="D18" s="2" t="s">
        <v>125</v>
      </c>
      <c r="E18" s="2"/>
      <c r="F18" s="2"/>
      <c r="G18" s="11"/>
    </row>
    <row r="19" spans="2:7" x14ac:dyDescent="0.25">
      <c r="B19" s="18"/>
      <c r="C19" s="2" t="s">
        <v>1</v>
      </c>
      <c r="D19" s="2" t="s">
        <v>250</v>
      </c>
      <c r="E19" s="2"/>
      <c r="F19" s="2"/>
      <c r="G19" s="11"/>
    </row>
    <row r="20" spans="2:7" x14ac:dyDescent="0.25">
      <c r="B20" s="18"/>
      <c r="C20" s="2" t="s">
        <v>241</v>
      </c>
      <c r="D20" s="2"/>
      <c r="E20" s="2"/>
      <c r="F20" s="2"/>
      <c r="G20" s="11" t="e" cm="1">
        <f t="array" ref="G20">I*J</f>
        <v>#NAME?</v>
      </c>
    </row>
    <row r="21" spans="2:7" x14ac:dyDescent="0.25">
      <c r="B21" s="18"/>
      <c r="C21" s="63"/>
      <c r="D21" s="63"/>
      <c r="E21" s="63"/>
      <c r="F21" s="63"/>
      <c r="G21" s="11"/>
    </row>
    <row r="22" spans="2:7" x14ac:dyDescent="0.25">
      <c r="B22" s="18"/>
      <c r="C22" s="80" t="s">
        <v>245</v>
      </c>
      <c r="D22" s="81"/>
      <c r="E22" s="81"/>
      <c r="F22" s="59"/>
      <c r="G22" s="11"/>
    </row>
    <row r="23" spans="2:7" x14ac:dyDescent="0.25">
      <c r="B23" s="18"/>
      <c r="C23" s="2" t="s">
        <v>30</v>
      </c>
      <c r="D23" s="2"/>
      <c r="E23" s="2"/>
      <c r="F23" s="2"/>
      <c r="G23" s="11"/>
    </row>
    <row r="24" spans="2:7" x14ac:dyDescent="0.25">
      <c r="B24" s="18"/>
      <c r="C24" s="2" t="s">
        <v>1</v>
      </c>
      <c r="D24" s="2" t="s">
        <v>267</v>
      </c>
      <c r="E24" s="2"/>
      <c r="F24" s="2"/>
      <c r="G24" s="11"/>
    </row>
    <row r="25" spans="2:7" x14ac:dyDescent="0.25">
      <c r="B25" s="18"/>
      <c r="C25" s="2" t="s">
        <v>241</v>
      </c>
      <c r="D25" s="2"/>
      <c r="E25" s="2"/>
      <c r="F25" s="2"/>
      <c r="G25" s="11" t="e" cm="1">
        <f t="array" ref="G25:G27">liste_jour_source*Menu</f>
        <v>#VALUE!</v>
      </c>
    </row>
    <row r="26" spans="2:7" x14ac:dyDescent="0.25">
      <c r="B26" s="18"/>
      <c r="C26" s="63"/>
      <c r="D26" s="63"/>
      <c r="E26" s="63"/>
      <c r="F26" s="63"/>
      <c r="G26" s="11" t="e">
        <v>#VALUE!</v>
      </c>
    </row>
    <row r="27" spans="2:7" x14ac:dyDescent="0.25">
      <c r="B27" s="18"/>
      <c r="C27" s="2" t="s">
        <v>99</v>
      </c>
      <c r="D27" s="80" t="s">
        <v>268</v>
      </c>
      <c r="E27" s="81"/>
      <c r="F27" s="82"/>
      <c r="G27" s="11" t="e">
        <v>#VALUE!</v>
      </c>
    </row>
    <row r="28" spans="2:7" x14ac:dyDescent="0.25">
      <c r="B28" s="18"/>
      <c r="C28" s="63"/>
      <c r="D28" s="63"/>
      <c r="E28" s="63"/>
      <c r="F28" s="63"/>
      <c r="G28" s="11"/>
    </row>
    <row r="29" spans="2:7" x14ac:dyDescent="0.25">
      <c r="B29" s="18"/>
      <c r="C29" s="63"/>
      <c r="D29" s="63"/>
      <c r="E29" s="63"/>
      <c r="F29" s="63"/>
      <c r="G29" s="11"/>
    </row>
    <row r="30" spans="2:7" x14ac:dyDescent="0.25">
      <c r="B30" s="18"/>
      <c r="C30" s="63"/>
      <c r="D30" s="63"/>
      <c r="E30" s="63"/>
      <c r="F30" s="63"/>
      <c r="G30" s="11"/>
    </row>
    <row r="31" spans="2:7" ht="15.75" thickBot="1" x14ac:dyDescent="0.3">
      <c r="B31" s="64"/>
      <c r="C31" s="65"/>
      <c r="D31" s="65"/>
      <c r="E31" s="65"/>
      <c r="F31" s="65"/>
      <c r="G31" s="66"/>
    </row>
  </sheetData>
  <mergeCells count="5">
    <mergeCell ref="C8:F8"/>
    <mergeCell ref="C17:F17"/>
    <mergeCell ref="C22:E22"/>
    <mergeCell ref="D27:F27"/>
    <mergeCell ref="D9:F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/>
  <dimension ref="A1:R9"/>
  <sheetViews>
    <sheetView tabSelected="1" workbookViewId="0">
      <selection activeCell="K18" sqref="K18:K19"/>
    </sheetView>
  </sheetViews>
  <sheetFormatPr baseColWidth="10" defaultRowHeight="15" x14ac:dyDescent="0.25"/>
  <cols>
    <col min="9" max="9" width="23" bestFit="1" customWidth="1"/>
  </cols>
  <sheetData>
    <row r="1" spans="1:18" ht="15.75" thickBot="1" x14ac:dyDescent="0.3"/>
    <row r="2" spans="1:18" ht="15.75" thickBot="1" x14ac:dyDescent="0.3">
      <c r="A2" s="76" t="s">
        <v>260</v>
      </c>
      <c r="B2" s="77" t="s">
        <v>23</v>
      </c>
      <c r="C2" s="77" t="s">
        <v>243</v>
      </c>
      <c r="D2" s="77" t="s">
        <v>25</v>
      </c>
      <c r="E2" s="77" t="s">
        <v>26</v>
      </c>
      <c r="F2" s="77" t="s">
        <v>244</v>
      </c>
      <c r="G2" s="77" t="s">
        <v>28</v>
      </c>
      <c r="H2" s="77" t="s">
        <v>27</v>
      </c>
      <c r="I2" s="73" t="s">
        <v>29</v>
      </c>
      <c r="J2" s="73" t="s">
        <v>240</v>
      </c>
      <c r="K2" s="73" t="s">
        <v>241</v>
      </c>
      <c r="L2" s="74" t="s">
        <v>262</v>
      </c>
      <c r="M2" s="74" t="s">
        <v>136</v>
      </c>
      <c r="N2" s="74" t="s">
        <v>1</v>
      </c>
      <c r="O2" s="74" t="s">
        <v>242</v>
      </c>
      <c r="P2" s="78" t="s">
        <v>31</v>
      </c>
      <c r="Q2" s="75" t="s">
        <v>261</v>
      </c>
    </row>
    <row r="3" spans="1:18" x14ac:dyDescent="0.25">
      <c r="B3" t="s">
        <v>35</v>
      </c>
      <c r="C3" t="s">
        <v>36</v>
      </c>
      <c r="E3" t="s">
        <v>37</v>
      </c>
      <c r="F3" t="s">
        <v>32</v>
      </c>
      <c r="G3" t="s">
        <v>38</v>
      </c>
      <c r="H3" t="s">
        <v>33</v>
      </c>
      <c r="I3" t="s">
        <v>17</v>
      </c>
      <c r="J3" t="s">
        <v>34</v>
      </c>
      <c r="K3">
        <v>1</v>
      </c>
      <c r="P3">
        <f>J3*K3</f>
        <v>300</v>
      </c>
    </row>
    <row r="4" spans="1:18" x14ac:dyDescent="0.25">
      <c r="B4" t="s">
        <v>252</v>
      </c>
      <c r="C4" t="s">
        <v>253</v>
      </c>
      <c r="E4" t="s">
        <v>254</v>
      </c>
      <c r="F4" t="s">
        <v>255</v>
      </c>
      <c r="G4" t="s">
        <v>256</v>
      </c>
      <c r="H4" t="s">
        <v>257</v>
      </c>
      <c r="I4" t="s">
        <v>125</v>
      </c>
      <c r="J4" t="s">
        <v>250</v>
      </c>
      <c r="K4">
        <v>1</v>
      </c>
      <c r="M4" t="s">
        <v>144</v>
      </c>
      <c r="N4" t="s">
        <v>251</v>
      </c>
      <c r="O4">
        <v>1</v>
      </c>
    </row>
    <row r="7" spans="1:18" x14ac:dyDescent="0.25">
      <c r="R7" t="s">
        <v>133</v>
      </c>
    </row>
    <row r="8" spans="1:18" x14ac:dyDescent="0.25">
      <c r="R8" t="s">
        <v>134</v>
      </c>
    </row>
    <row r="9" spans="1:18" x14ac:dyDescent="0.25">
      <c r="R9" t="s">
        <v>135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/>
  <dimension ref="B1:J27"/>
  <sheetViews>
    <sheetView workbookViewId="0">
      <selection activeCell="D22" sqref="D22"/>
    </sheetView>
  </sheetViews>
  <sheetFormatPr baseColWidth="10" defaultRowHeight="15" x14ac:dyDescent="0.25"/>
  <sheetData>
    <row r="1" spans="2:10" ht="15.75" thickBot="1" x14ac:dyDescent="0.3"/>
    <row r="2" spans="2:10" x14ac:dyDescent="0.25">
      <c r="B2" s="60" t="s">
        <v>261</v>
      </c>
      <c r="C2" s="61"/>
      <c r="D2" s="62"/>
      <c r="E2" s="62"/>
      <c r="F2" s="62"/>
      <c r="G2" s="13"/>
    </row>
    <row r="3" spans="2:10" x14ac:dyDescent="0.25">
      <c r="B3" s="18"/>
      <c r="C3" s="63"/>
      <c r="D3" s="63"/>
      <c r="E3" s="63"/>
      <c r="F3" s="63"/>
      <c r="G3" s="11"/>
    </row>
    <row r="4" spans="2:10" x14ac:dyDescent="0.25">
      <c r="B4" s="18"/>
      <c r="C4" s="63"/>
      <c r="D4" s="63"/>
      <c r="E4" s="63"/>
      <c r="F4" s="63"/>
      <c r="G4" s="11"/>
    </row>
    <row r="5" spans="2:10" x14ac:dyDescent="0.25">
      <c r="B5" s="18"/>
      <c r="C5" s="63"/>
      <c r="D5" s="63"/>
      <c r="E5" s="63"/>
      <c r="F5" s="63"/>
      <c r="G5" s="11"/>
      <c r="J5" t="s">
        <v>111</v>
      </c>
    </row>
    <row r="6" spans="2:10" x14ac:dyDescent="0.25">
      <c r="B6" s="18"/>
      <c r="C6" s="63"/>
      <c r="D6" s="63"/>
      <c r="E6" s="2" t="s">
        <v>260</v>
      </c>
      <c r="F6" s="2"/>
      <c r="G6" s="11"/>
    </row>
    <row r="7" spans="2:10" x14ac:dyDescent="0.25">
      <c r="B7" s="18"/>
      <c r="C7" s="63"/>
      <c r="D7" s="63"/>
      <c r="E7" s="63"/>
      <c r="F7" s="63"/>
      <c r="G7" s="11"/>
    </row>
    <row r="8" spans="2:10" x14ac:dyDescent="0.25">
      <c r="B8" s="18"/>
      <c r="C8" s="80" t="s">
        <v>263</v>
      </c>
      <c r="D8" s="81"/>
      <c r="E8" s="81"/>
      <c r="F8" s="82"/>
      <c r="G8" s="11"/>
    </row>
    <row r="9" spans="2:10" x14ac:dyDescent="0.25">
      <c r="B9" s="18"/>
      <c r="C9" s="2" t="s">
        <v>23</v>
      </c>
      <c r="D9" s="80"/>
      <c r="E9" s="81"/>
      <c r="F9" s="82"/>
      <c r="G9" s="11"/>
    </row>
    <row r="10" spans="2:10" x14ac:dyDescent="0.25">
      <c r="B10" s="18"/>
      <c r="C10" s="63"/>
      <c r="D10" s="63"/>
      <c r="E10" s="63"/>
      <c r="F10" s="63"/>
      <c r="G10" s="11"/>
    </row>
    <row r="11" spans="2:10" x14ac:dyDescent="0.25">
      <c r="B11" s="18"/>
      <c r="C11" s="83" t="s">
        <v>264</v>
      </c>
      <c r="D11" s="83"/>
      <c r="E11" s="83"/>
      <c r="F11" s="83"/>
      <c r="G11" s="11"/>
      <c r="J11" t="s">
        <v>112</v>
      </c>
    </row>
    <row r="12" spans="2:10" x14ac:dyDescent="0.25">
      <c r="B12" s="18"/>
      <c r="C12" s="71" t="s">
        <v>86</v>
      </c>
      <c r="D12" s="67"/>
      <c r="E12" s="67"/>
      <c r="F12" s="68"/>
      <c r="G12" s="11"/>
    </row>
    <row r="13" spans="2:10" x14ac:dyDescent="0.25">
      <c r="B13" s="18"/>
      <c r="C13" s="72" t="s">
        <v>85</v>
      </c>
      <c r="D13" s="63"/>
      <c r="E13" s="63"/>
      <c r="F13" s="69"/>
      <c r="G13" s="11"/>
    </row>
    <row r="14" spans="2:10" x14ac:dyDescent="0.25">
      <c r="B14" s="18"/>
      <c r="C14" s="37" t="s">
        <v>93</v>
      </c>
      <c r="D14" s="26"/>
      <c r="E14" s="26"/>
      <c r="F14" s="70"/>
      <c r="G14" s="11"/>
    </row>
    <row r="15" spans="2:10" x14ac:dyDescent="0.25">
      <c r="B15" s="18"/>
      <c r="C15" s="63"/>
      <c r="D15" s="63"/>
      <c r="E15" s="63"/>
      <c r="F15" s="63"/>
      <c r="G15" s="11"/>
    </row>
    <row r="16" spans="2:10" x14ac:dyDescent="0.25">
      <c r="B16" s="18"/>
      <c r="C16" s="63"/>
      <c r="D16" s="63"/>
      <c r="E16" s="63"/>
      <c r="F16" s="63"/>
      <c r="G16" s="11"/>
    </row>
    <row r="17" spans="2:10" x14ac:dyDescent="0.25">
      <c r="B17" s="18"/>
      <c r="C17" s="80" t="s">
        <v>265</v>
      </c>
      <c r="D17" s="81"/>
      <c r="E17" s="81"/>
      <c r="F17" s="82"/>
      <c r="G17" s="11"/>
      <c r="J17" t="s">
        <v>113</v>
      </c>
    </row>
    <row r="18" spans="2:10" x14ac:dyDescent="0.25">
      <c r="B18" s="18"/>
      <c r="C18" s="2" t="s">
        <v>100</v>
      </c>
      <c r="D18" s="80"/>
      <c r="E18" s="81"/>
      <c r="F18" s="82"/>
      <c r="G18" s="11"/>
    </row>
    <row r="19" spans="2:10" x14ac:dyDescent="0.25">
      <c r="B19" s="18"/>
      <c r="C19" s="80"/>
      <c r="D19" s="81"/>
      <c r="E19" s="81"/>
      <c r="F19" s="82"/>
      <c r="G19" s="11"/>
    </row>
    <row r="20" spans="2:10" x14ac:dyDescent="0.25">
      <c r="B20" s="18"/>
      <c r="C20" s="2" t="s">
        <v>266</v>
      </c>
      <c r="D20" s="80"/>
      <c r="E20" s="81"/>
      <c r="F20" s="82"/>
      <c r="G20" s="11"/>
    </row>
    <row r="21" spans="2:10" x14ac:dyDescent="0.25">
      <c r="B21" s="18"/>
      <c r="C21" s="63"/>
      <c r="D21" s="63"/>
      <c r="E21" s="63"/>
      <c r="F21" s="63"/>
      <c r="G21" s="11"/>
    </row>
    <row r="22" spans="2:10" x14ac:dyDescent="0.25">
      <c r="B22" s="18"/>
      <c r="C22" s="63"/>
      <c r="D22" s="63"/>
      <c r="E22" s="63"/>
      <c r="F22" s="63"/>
      <c r="G22" s="11"/>
    </row>
    <row r="23" spans="2:10" x14ac:dyDescent="0.25">
      <c r="B23" s="18"/>
      <c r="C23" s="63"/>
      <c r="D23" s="63"/>
      <c r="E23" s="63"/>
      <c r="F23" s="63"/>
      <c r="G23" s="11"/>
    </row>
    <row r="24" spans="2:10" x14ac:dyDescent="0.25">
      <c r="B24" s="18"/>
      <c r="C24" s="63"/>
      <c r="D24" s="63"/>
      <c r="E24" s="63"/>
      <c r="F24" s="63"/>
      <c r="G24" s="11"/>
    </row>
    <row r="25" spans="2:10" x14ac:dyDescent="0.25">
      <c r="B25" s="18"/>
      <c r="C25" s="63"/>
      <c r="D25" s="63"/>
      <c r="E25" s="63"/>
      <c r="F25" s="63"/>
      <c r="G25" s="11"/>
    </row>
    <row r="26" spans="2:10" x14ac:dyDescent="0.25">
      <c r="B26" s="18"/>
      <c r="C26" s="63"/>
      <c r="D26" s="63"/>
      <c r="E26" s="63"/>
      <c r="F26" s="63"/>
      <c r="G26" s="11"/>
    </row>
    <row r="27" spans="2:10" ht="15.75" thickBot="1" x14ac:dyDescent="0.3">
      <c r="B27" s="64"/>
      <c r="C27" s="65"/>
      <c r="D27" s="65"/>
      <c r="E27" s="65"/>
      <c r="F27" s="65"/>
      <c r="G27" s="66"/>
    </row>
  </sheetData>
  <mergeCells count="7">
    <mergeCell ref="D20:F20"/>
    <mergeCell ref="D18:F18"/>
    <mergeCell ref="C8:F8"/>
    <mergeCell ref="D9:F9"/>
    <mergeCell ref="C17:F17"/>
    <mergeCell ref="C11:F11"/>
    <mergeCell ref="C19:F1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/>
  <dimension ref="A1:O34"/>
  <sheetViews>
    <sheetView workbookViewId="0">
      <selection activeCell="D18" sqref="D18"/>
    </sheetView>
  </sheetViews>
  <sheetFormatPr baseColWidth="10" defaultRowHeight="15" x14ac:dyDescent="0.25"/>
  <cols>
    <col min="7" max="7" width="12.7109375" bestFit="1" customWidth="1"/>
    <col min="14" max="14" width="21.42578125" bestFit="1" customWidth="1"/>
  </cols>
  <sheetData>
    <row r="1" spans="1:15" ht="15.75" thickBot="1" x14ac:dyDescent="0.3"/>
    <row r="2" spans="1:15" ht="15.75" thickBot="1" x14ac:dyDescent="0.3">
      <c r="A2" s="84" t="s">
        <v>39</v>
      </c>
      <c r="B2" s="85"/>
      <c r="C2" s="86"/>
      <c r="D2" s="87" t="s">
        <v>40</v>
      </c>
      <c r="E2" s="88"/>
      <c r="F2" s="89"/>
      <c r="G2" s="87" t="s">
        <v>41</v>
      </c>
      <c r="H2" s="88"/>
      <c r="I2" s="88"/>
      <c r="J2" s="90" t="s">
        <v>42</v>
      </c>
      <c r="K2" s="91"/>
      <c r="L2" s="90" t="s">
        <v>22</v>
      </c>
      <c r="M2" s="91"/>
    </row>
    <row r="3" spans="1:15" ht="15.75" thickBot="1" x14ac:dyDescent="0.3">
      <c r="A3" s="7" t="s">
        <v>43</v>
      </c>
      <c r="B3" s="7" t="s">
        <v>94</v>
      </c>
      <c r="C3" s="8" t="s">
        <v>44</v>
      </c>
      <c r="D3" s="7" t="s">
        <v>45</v>
      </c>
      <c r="E3" s="7" t="s">
        <v>104</v>
      </c>
      <c r="F3" s="7" t="s">
        <v>46</v>
      </c>
      <c r="G3" s="7" t="s">
        <v>95</v>
      </c>
      <c r="H3" s="7" t="s">
        <v>96</v>
      </c>
      <c r="I3" s="9" t="s">
        <v>97</v>
      </c>
      <c r="J3" s="6" t="s">
        <v>47</v>
      </c>
      <c r="K3" s="34" t="s">
        <v>101</v>
      </c>
      <c r="L3" s="6" t="s">
        <v>260</v>
      </c>
      <c r="M3" s="34" t="s">
        <v>261</v>
      </c>
    </row>
    <row r="4" spans="1:15" x14ac:dyDescent="0.25">
      <c r="A4" t="s">
        <v>48</v>
      </c>
      <c r="B4" s="10" t="s">
        <v>49</v>
      </c>
      <c r="C4" t="s">
        <v>50</v>
      </c>
      <c r="D4" s="10" t="s">
        <v>87</v>
      </c>
      <c r="E4" s="12" t="s">
        <v>102</v>
      </c>
      <c r="F4" s="13">
        <v>1</v>
      </c>
      <c r="G4" s="14">
        <v>3000</v>
      </c>
      <c r="H4" s="15">
        <v>800</v>
      </c>
      <c r="I4" s="16">
        <v>200</v>
      </c>
      <c r="J4" s="17"/>
      <c r="K4" s="35">
        <v>0</v>
      </c>
    </row>
    <row r="5" spans="1:15" x14ac:dyDescent="0.25">
      <c r="A5" t="s">
        <v>51</v>
      </c>
      <c r="B5" s="10" t="s">
        <v>54</v>
      </c>
      <c r="C5" t="s">
        <v>76</v>
      </c>
      <c r="D5" s="10" t="s">
        <v>88</v>
      </c>
      <c r="E5" s="10" t="s">
        <v>106</v>
      </c>
      <c r="F5" s="11">
        <v>2</v>
      </c>
      <c r="G5" s="19" t="s">
        <v>107</v>
      </c>
      <c r="H5" s="20" t="s">
        <v>108</v>
      </c>
      <c r="I5" s="21" t="s">
        <v>103</v>
      </c>
      <c r="J5" s="22" t="s">
        <v>109</v>
      </c>
      <c r="K5" s="35" t="s">
        <v>110</v>
      </c>
    </row>
    <row r="6" spans="1:15" x14ac:dyDescent="0.25">
      <c r="A6" t="s">
        <v>55</v>
      </c>
      <c r="B6" s="10" t="s">
        <v>59</v>
      </c>
      <c r="C6" t="s">
        <v>63</v>
      </c>
      <c r="D6" s="10" t="s">
        <v>89</v>
      </c>
      <c r="E6" s="10" t="s">
        <v>114</v>
      </c>
      <c r="F6" s="11">
        <v>2</v>
      </c>
      <c r="G6" s="19" t="s">
        <v>115</v>
      </c>
      <c r="H6" s="20" t="s">
        <v>116</v>
      </c>
      <c r="I6" s="21" t="s">
        <v>117</v>
      </c>
      <c r="J6" s="22" t="s">
        <v>118</v>
      </c>
      <c r="K6" s="35" t="s">
        <v>119</v>
      </c>
      <c r="O6" t="s">
        <v>133</v>
      </c>
    </row>
    <row r="7" spans="1:15" x14ac:dyDescent="0.25">
      <c r="A7" t="s">
        <v>56</v>
      </c>
      <c r="B7" s="10" t="s">
        <v>49</v>
      </c>
      <c r="C7" t="s">
        <v>50</v>
      </c>
      <c r="D7" s="10" t="s">
        <v>90</v>
      </c>
      <c r="E7" s="10">
        <v>1</v>
      </c>
      <c r="F7" s="11">
        <v>2</v>
      </c>
      <c r="G7" s="19">
        <v>10000</v>
      </c>
      <c r="H7" s="20">
        <v>2000</v>
      </c>
      <c r="I7" s="21">
        <v>400</v>
      </c>
      <c r="J7" s="22"/>
      <c r="K7" s="35">
        <v>2</v>
      </c>
      <c r="O7" t="s">
        <v>134</v>
      </c>
    </row>
    <row r="8" spans="1:15" x14ac:dyDescent="0.25">
      <c r="A8" t="s">
        <v>57</v>
      </c>
      <c r="B8" s="10" t="s">
        <v>54</v>
      </c>
      <c r="C8" t="s">
        <v>63</v>
      </c>
      <c r="D8" s="10" t="s">
        <v>91</v>
      </c>
      <c r="E8" s="10">
        <v>2</v>
      </c>
      <c r="F8" s="11">
        <v>2</v>
      </c>
      <c r="G8" s="19">
        <v>9400</v>
      </c>
      <c r="H8" s="20">
        <v>4000</v>
      </c>
      <c r="I8" s="21">
        <v>550</v>
      </c>
      <c r="J8" s="22" t="s">
        <v>120</v>
      </c>
      <c r="K8" s="35">
        <v>0</v>
      </c>
      <c r="O8" t="s">
        <v>135</v>
      </c>
    </row>
    <row r="9" spans="1:15" x14ac:dyDescent="0.25">
      <c r="A9" t="s">
        <v>58</v>
      </c>
      <c r="B9" s="10" t="s">
        <v>59</v>
      </c>
      <c r="C9" t="s">
        <v>76</v>
      </c>
      <c r="D9" s="10" t="s">
        <v>92</v>
      </c>
      <c r="E9" s="10">
        <v>3</v>
      </c>
      <c r="F9" s="11">
        <v>1</v>
      </c>
      <c r="G9" s="19">
        <v>6000</v>
      </c>
      <c r="H9" s="20">
        <v>2000</v>
      </c>
      <c r="I9" s="21">
        <v>1000</v>
      </c>
      <c r="J9" s="22" t="s">
        <v>121</v>
      </c>
      <c r="K9" s="35">
        <v>3</v>
      </c>
    </row>
    <row r="10" spans="1:15" x14ac:dyDescent="0.25">
      <c r="A10" t="s">
        <v>60</v>
      </c>
      <c r="B10" s="10" t="s">
        <v>49</v>
      </c>
      <c r="C10" t="s">
        <v>50</v>
      </c>
      <c r="D10" s="10" t="s">
        <v>87</v>
      </c>
      <c r="E10" s="10">
        <v>1</v>
      </c>
      <c r="F10" s="11">
        <v>3</v>
      </c>
      <c r="G10" s="19">
        <v>12000</v>
      </c>
      <c r="H10" s="20">
        <v>3500</v>
      </c>
      <c r="I10" s="21">
        <v>300</v>
      </c>
      <c r="J10" s="22"/>
      <c r="K10" s="35">
        <v>1</v>
      </c>
    </row>
    <row r="11" spans="1:15" x14ac:dyDescent="0.25">
      <c r="A11" t="s">
        <v>61</v>
      </c>
      <c r="B11" s="10" t="s">
        <v>54</v>
      </c>
      <c r="C11" t="s">
        <v>63</v>
      </c>
      <c r="D11" s="10" t="s">
        <v>88</v>
      </c>
      <c r="E11" s="10">
        <v>2</v>
      </c>
      <c r="F11" s="11">
        <v>2</v>
      </c>
      <c r="G11" s="19">
        <v>7500</v>
      </c>
      <c r="H11" s="20">
        <v>4500</v>
      </c>
      <c r="I11" s="21">
        <v>900</v>
      </c>
      <c r="J11" s="22"/>
      <c r="K11" s="35">
        <v>0</v>
      </c>
    </row>
    <row r="12" spans="1:15" x14ac:dyDescent="0.25">
      <c r="A12" t="s">
        <v>65</v>
      </c>
      <c r="B12" s="10" t="s">
        <v>59</v>
      </c>
      <c r="C12" t="s">
        <v>76</v>
      </c>
      <c r="D12" s="10" t="s">
        <v>89</v>
      </c>
      <c r="E12" s="10">
        <v>5</v>
      </c>
      <c r="F12" s="11">
        <v>3</v>
      </c>
      <c r="G12" s="19">
        <v>20000</v>
      </c>
      <c r="H12" s="20">
        <v>10000</v>
      </c>
      <c r="I12" s="21">
        <v>610</v>
      </c>
      <c r="J12" s="22"/>
      <c r="K12" s="35">
        <v>7</v>
      </c>
    </row>
    <row r="13" spans="1:15" x14ac:dyDescent="0.25">
      <c r="A13" t="s">
        <v>72</v>
      </c>
      <c r="B13" s="10" t="s">
        <v>49</v>
      </c>
      <c r="C13" t="s">
        <v>50</v>
      </c>
      <c r="D13" s="10" t="s">
        <v>90</v>
      </c>
      <c r="E13" s="10">
        <v>8</v>
      </c>
      <c r="F13" s="11">
        <v>1</v>
      </c>
      <c r="G13" s="19">
        <v>2000</v>
      </c>
      <c r="H13" s="20">
        <v>100</v>
      </c>
      <c r="I13" s="21">
        <v>50</v>
      </c>
      <c r="J13" s="22"/>
      <c r="K13" s="35">
        <v>0</v>
      </c>
    </row>
    <row r="14" spans="1:15" x14ac:dyDescent="0.25">
      <c r="A14" t="s">
        <v>73</v>
      </c>
      <c r="B14" s="10" t="s">
        <v>54</v>
      </c>
      <c r="C14" t="s">
        <v>63</v>
      </c>
      <c r="D14" s="10" t="s">
        <v>91</v>
      </c>
      <c r="E14" s="10">
        <v>1</v>
      </c>
      <c r="F14" s="11">
        <v>1</v>
      </c>
      <c r="G14" s="19">
        <v>10000</v>
      </c>
      <c r="H14" s="20">
        <v>2300</v>
      </c>
      <c r="I14" s="21">
        <v>1000</v>
      </c>
      <c r="J14" s="22"/>
      <c r="K14" s="35">
        <v>1</v>
      </c>
    </row>
    <row r="15" spans="1:15" x14ac:dyDescent="0.25">
      <c r="A15" t="s">
        <v>74</v>
      </c>
      <c r="B15" s="10" t="s">
        <v>59</v>
      </c>
      <c r="C15" t="s">
        <v>76</v>
      </c>
      <c r="D15" s="10" t="s">
        <v>92</v>
      </c>
      <c r="E15" s="10">
        <v>3</v>
      </c>
      <c r="F15" s="11">
        <v>3</v>
      </c>
      <c r="G15" s="19">
        <v>15000</v>
      </c>
      <c r="H15" s="20">
        <v>6000</v>
      </c>
      <c r="I15" s="21">
        <v>2000</v>
      </c>
      <c r="J15" s="22"/>
      <c r="K15" s="35">
        <v>2</v>
      </c>
    </row>
    <row r="16" spans="1:15" x14ac:dyDescent="0.25">
      <c r="B16" s="10"/>
      <c r="D16" s="10"/>
      <c r="E16" s="10"/>
      <c r="F16" s="11"/>
      <c r="G16" s="19"/>
      <c r="H16" s="20"/>
      <c r="I16" s="21"/>
      <c r="J16" s="22"/>
      <c r="K16" s="35"/>
    </row>
    <row r="17" spans="2:11" x14ac:dyDescent="0.25">
      <c r="B17" s="10"/>
      <c r="D17" s="10"/>
      <c r="E17" s="10"/>
      <c r="F17" s="11"/>
      <c r="G17" s="19"/>
      <c r="H17" s="20"/>
      <c r="I17" s="21"/>
      <c r="J17" s="22"/>
      <c r="K17" s="35"/>
    </row>
    <row r="18" spans="2:11" x14ac:dyDescent="0.25">
      <c r="B18" s="10"/>
      <c r="C18" s="11"/>
      <c r="D18" s="18"/>
      <c r="E18" s="10"/>
      <c r="F18" s="11"/>
      <c r="G18" s="19"/>
      <c r="H18" s="20"/>
      <c r="I18" s="21"/>
      <c r="J18" s="22"/>
      <c r="K18" s="35"/>
    </row>
    <row r="19" spans="2:11" x14ac:dyDescent="0.25">
      <c r="B19" s="10"/>
      <c r="C19" s="11"/>
      <c r="D19" s="18"/>
      <c r="E19" s="10"/>
      <c r="F19" s="11"/>
      <c r="G19" s="19"/>
      <c r="H19" s="20"/>
      <c r="I19" s="21"/>
      <c r="J19" s="22"/>
      <c r="K19" s="35"/>
    </row>
    <row r="20" spans="2:11" x14ac:dyDescent="0.25">
      <c r="B20" s="10"/>
      <c r="C20" s="11"/>
      <c r="D20" s="18"/>
      <c r="E20" s="10"/>
      <c r="F20" s="11"/>
      <c r="G20" s="19"/>
      <c r="H20" s="20"/>
      <c r="I20" s="21"/>
      <c r="J20" s="22"/>
      <c r="K20" s="35"/>
    </row>
    <row r="21" spans="2:11" x14ac:dyDescent="0.25">
      <c r="B21" s="10"/>
      <c r="C21" s="11"/>
      <c r="D21" s="18"/>
      <c r="E21" s="10"/>
      <c r="F21" s="11"/>
      <c r="G21" s="19"/>
      <c r="H21" s="20"/>
      <c r="I21" s="21"/>
      <c r="J21" s="22"/>
      <c r="K21" s="35"/>
    </row>
    <row r="22" spans="2:11" x14ac:dyDescent="0.25">
      <c r="B22" s="10"/>
      <c r="C22" s="11"/>
      <c r="D22" s="18"/>
      <c r="E22" s="10"/>
      <c r="F22" s="11"/>
      <c r="G22" s="19"/>
      <c r="H22" s="20"/>
      <c r="I22" s="21"/>
      <c r="J22" s="22"/>
      <c r="K22" s="35"/>
    </row>
    <row r="23" spans="2:11" x14ac:dyDescent="0.25">
      <c r="B23" s="10"/>
      <c r="C23" s="11"/>
      <c r="D23" s="18"/>
      <c r="E23" s="10"/>
      <c r="F23" s="11"/>
      <c r="G23" s="19"/>
      <c r="H23" s="20"/>
      <c r="I23" s="21"/>
      <c r="J23" s="22"/>
      <c r="K23" s="35"/>
    </row>
    <row r="24" spans="2:11" x14ac:dyDescent="0.25">
      <c r="B24" s="10"/>
      <c r="C24" s="11"/>
      <c r="D24" s="18"/>
      <c r="E24" s="10"/>
      <c r="F24" s="11"/>
      <c r="G24" s="19"/>
      <c r="H24" s="20"/>
      <c r="I24" s="21"/>
      <c r="J24" s="22"/>
      <c r="K24" s="35"/>
    </row>
    <row r="25" spans="2:11" x14ac:dyDescent="0.25">
      <c r="B25" s="10"/>
      <c r="C25" s="11"/>
      <c r="D25" s="18"/>
      <c r="E25" s="10"/>
      <c r="F25" s="11"/>
      <c r="G25" s="19"/>
      <c r="H25" s="20"/>
      <c r="I25" s="21"/>
      <c r="J25" s="22"/>
      <c r="K25" s="35"/>
    </row>
    <row r="26" spans="2:11" x14ac:dyDescent="0.25">
      <c r="B26" s="10"/>
      <c r="C26" s="11"/>
      <c r="D26" s="18"/>
      <c r="E26" s="10"/>
      <c r="F26" s="11"/>
      <c r="G26" s="19"/>
      <c r="H26" s="20"/>
      <c r="I26" s="21"/>
      <c r="J26" s="22"/>
      <c r="K26" s="35"/>
    </row>
    <row r="27" spans="2:11" x14ac:dyDescent="0.25">
      <c r="B27" s="10"/>
      <c r="C27" s="11"/>
      <c r="D27" s="18"/>
      <c r="E27" s="10"/>
      <c r="F27" s="11"/>
      <c r="G27" s="19"/>
      <c r="H27" s="20"/>
      <c r="I27" s="21"/>
      <c r="J27" s="22"/>
      <c r="K27" s="35"/>
    </row>
    <row r="28" spans="2:11" x14ac:dyDescent="0.25">
      <c r="B28" s="10"/>
      <c r="C28" s="11"/>
      <c r="D28" s="18"/>
      <c r="E28" s="10"/>
      <c r="F28" s="11"/>
      <c r="G28" s="19"/>
      <c r="H28" s="20"/>
      <c r="I28" s="21"/>
      <c r="J28" s="22"/>
      <c r="K28" s="35"/>
    </row>
    <row r="29" spans="2:11" x14ac:dyDescent="0.25">
      <c r="B29" s="10"/>
      <c r="C29" s="11"/>
      <c r="D29" s="18"/>
      <c r="E29" s="10"/>
      <c r="F29" s="11"/>
      <c r="G29" s="19"/>
      <c r="H29" s="20"/>
      <c r="I29" s="21"/>
      <c r="J29" s="22"/>
      <c r="K29" s="35"/>
    </row>
    <row r="30" spans="2:11" x14ac:dyDescent="0.25">
      <c r="B30" s="10"/>
      <c r="C30" s="11"/>
      <c r="D30" s="18"/>
      <c r="E30" s="10"/>
      <c r="F30" s="11"/>
      <c r="G30" s="19"/>
      <c r="H30" s="20"/>
      <c r="I30" s="21"/>
      <c r="J30" s="22"/>
      <c r="K30" s="35"/>
    </row>
    <row r="31" spans="2:11" x14ac:dyDescent="0.25">
      <c r="B31" s="10"/>
      <c r="C31" s="11"/>
      <c r="D31" s="18"/>
      <c r="E31" s="10"/>
      <c r="F31" s="11"/>
      <c r="G31" s="19"/>
      <c r="H31" s="20"/>
      <c r="I31" s="21"/>
      <c r="J31" s="22"/>
      <c r="K31" s="35"/>
    </row>
    <row r="32" spans="2:11" x14ac:dyDescent="0.25">
      <c r="B32" s="10"/>
      <c r="C32" s="11"/>
      <c r="D32" s="18"/>
      <c r="E32" s="10"/>
      <c r="F32" s="11"/>
      <c r="G32" s="19"/>
      <c r="H32" s="20"/>
      <c r="I32" s="21"/>
      <c r="J32" s="22"/>
      <c r="K32" s="35"/>
    </row>
    <row r="33" spans="1:11" x14ac:dyDescent="0.25">
      <c r="B33" s="10"/>
      <c r="C33" s="11"/>
      <c r="D33" s="18"/>
      <c r="E33" s="10"/>
      <c r="F33" s="11"/>
      <c r="G33" s="19"/>
      <c r="H33" s="20"/>
      <c r="I33" s="21"/>
      <c r="J33" s="22"/>
      <c r="K33" s="35"/>
    </row>
    <row r="34" spans="1:11" x14ac:dyDescent="0.25">
      <c r="A34" s="26"/>
      <c r="B34" s="27"/>
      <c r="C34" s="28"/>
      <c r="D34" s="29"/>
      <c r="E34" s="27"/>
      <c r="F34" s="28"/>
      <c r="G34" s="30"/>
      <c r="H34" s="31"/>
      <c r="I34" s="32"/>
      <c r="J34" s="33"/>
      <c r="K34" s="36"/>
    </row>
  </sheetData>
  <mergeCells count="5">
    <mergeCell ref="A2:C2"/>
    <mergeCell ref="D2:F2"/>
    <mergeCell ref="G2:I2"/>
    <mergeCell ref="J2:K2"/>
    <mergeCell ref="L2:M2"/>
  </mergeCells>
  <conditionalFormatting sqref="F4:F3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{32E11F1A-A8B1-4085-87FE-AEE97DB45AC2}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2E11F1A-A8B1-4085-87FE-AEE97DB45A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F4:F34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/>
  <dimension ref="A2:H15"/>
  <sheetViews>
    <sheetView workbookViewId="0">
      <selection activeCell="G26" sqref="G26"/>
    </sheetView>
  </sheetViews>
  <sheetFormatPr baseColWidth="10" defaultRowHeight="15" x14ac:dyDescent="0.25"/>
  <cols>
    <col min="1" max="1" width="23" bestFit="1" customWidth="1"/>
    <col min="8" max="8" width="12.5703125" bestFit="1" customWidth="1"/>
  </cols>
  <sheetData>
    <row r="2" spans="1:8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136</v>
      </c>
      <c r="H2" s="1" t="s">
        <v>142</v>
      </c>
    </row>
    <row r="3" spans="1:8" x14ac:dyDescent="0.25">
      <c r="A3" s="2" t="s">
        <v>130</v>
      </c>
      <c r="B3" s="3">
        <v>65</v>
      </c>
      <c r="C3" s="2">
        <v>100</v>
      </c>
      <c r="D3" s="2" t="s">
        <v>6</v>
      </c>
      <c r="E3" s="4"/>
      <c r="F3" s="2">
        <f t="shared" ref="F3:F14" si="0">C3-E3</f>
        <v>100</v>
      </c>
      <c r="G3" s="2" t="s">
        <v>137</v>
      </c>
      <c r="H3" s="2" t="str">
        <f>IF(G3="Oui",(VLOOKUP(C3,$C$3:$G$14,1,FALSE)),"")</f>
        <v/>
      </c>
    </row>
    <row r="4" spans="1:8" x14ac:dyDescent="0.25">
      <c r="A4" s="2" t="s">
        <v>131</v>
      </c>
      <c r="B4" s="3">
        <v>65</v>
      </c>
      <c r="C4" s="2">
        <v>100</v>
      </c>
      <c r="D4" s="2" t="s">
        <v>7</v>
      </c>
      <c r="E4" s="4"/>
      <c r="F4" s="2">
        <f t="shared" si="0"/>
        <v>100</v>
      </c>
      <c r="G4" s="2" t="s">
        <v>138</v>
      </c>
      <c r="H4" s="2">
        <f t="shared" ref="H4:H14" si="1">IF(G4="Oui",(VLOOKUP(C4,$C$3:$G$14,1,FALSE)),"")</f>
        <v>100</v>
      </c>
    </row>
    <row r="5" spans="1:8" x14ac:dyDescent="0.25">
      <c r="A5" s="2" t="s">
        <v>132</v>
      </c>
      <c r="B5" s="3">
        <v>65</v>
      </c>
      <c r="C5" s="2">
        <v>100</v>
      </c>
      <c r="D5" s="2" t="s">
        <v>8</v>
      </c>
      <c r="E5" s="4"/>
      <c r="F5" s="2">
        <f t="shared" si="0"/>
        <v>100</v>
      </c>
      <c r="G5" s="2" t="s">
        <v>137</v>
      </c>
      <c r="H5" s="2" t="str">
        <f t="shared" si="1"/>
        <v/>
      </c>
    </row>
    <row r="6" spans="1:8" x14ac:dyDescent="0.25">
      <c r="A6" s="2" t="s">
        <v>124</v>
      </c>
      <c r="B6" s="3">
        <v>151</v>
      </c>
      <c r="C6" s="2">
        <v>50</v>
      </c>
      <c r="D6" s="2" t="s">
        <v>9</v>
      </c>
      <c r="E6" s="4"/>
      <c r="F6" s="2">
        <f t="shared" si="0"/>
        <v>50</v>
      </c>
      <c r="G6" s="2" t="s">
        <v>138</v>
      </c>
      <c r="H6" s="2">
        <f t="shared" si="1"/>
        <v>50</v>
      </c>
    </row>
    <row r="7" spans="1:8" x14ac:dyDescent="0.25">
      <c r="A7" s="2" t="s">
        <v>125</v>
      </c>
      <c r="B7" s="3">
        <v>151</v>
      </c>
      <c r="C7" s="2">
        <v>50</v>
      </c>
      <c r="D7" s="2" t="s">
        <v>10</v>
      </c>
      <c r="E7" s="4"/>
      <c r="F7" s="2">
        <f t="shared" si="0"/>
        <v>50</v>
      </c>
      <c r="G7" s="2" t="s">
        <v>138</v>
      </c>
      <c r="H7" s="2">
        <f t="shared" si="1"/>
        <v>50</v>
      </c>
    </row>
    <row r="8" spans="1:8" x14ac:dyDescent="0.25">
      <c r="A8" s="2" t="s">
        <v>126</v>
      </c>
      <c r="B8" s="3">
        <v>181</v>
      </c>
      <c r="C8" s="2">
        <v>10</v>
      </c>
      <c r="D8" s="2" t="s">
        <v>11</v>
      </c>
      <c r="E8" s="4"/>
      <c r="F8" s="2">
        <f t="shared" si="0"/>
        <v>10</v>
      </c>
      <c r="G8" s="2" t="s">
        <v>138</v>
      </c>
      <c r="H8" s="2">
        <f t="shared" si="1"/>
        <v>10</v>
      </c>
    </row>
    <row r="9" spans="1:8" x14ac:dyDescent="0.25">
      <c r="A9" s="2" t="s">
        <v>19</v>
      </c>
      <c r="B9" s="3">
        <v>100</v>
      </c>
      <c r="C9" s="2">
        <v>20</v>
      </c>
      <c r="D9" s="2" t="s">
        <v>12</v>
      </c>
      <c r="E9" s="4"/>
      <c r="F9" s="2">
        <f t="shared" si="0"/>
        <v>20</v>
      </c>
      <c r="G9" s="2" t="s">
        <v>137</v>
      </c>
      <c r="H9" s="2" t="str">
        <f t="shared" si="1"/>
        <v/>
      </c>
    </row>
    <row r="10" spans="1:8" x14ac:dyDescent="0.25">
      <c r="A10" s="2" t="s">
        <v>20</v>
      </c>
      <c r="B10" s="3">
        <v>100</v>
      </c>
      <c r="C10" s="2">
        <v>20</v>
      </c>
      <c r="D10" s="2" t="s">
        <v>13</v>
      </c>
      <c r="E10" s="4"/>
      <c r="F10" s="2">
        <f t="shared" si="0"/>
        <v>20</v>
      </c>
      <c r="G10" s="2" t="s">
        <v>137</v>
      </c>
      <c r="H10" s="2" t="str">
        <f t="shared" si="1"/>
        <v/>
      </c>
    </row>
    <row r="11" spans="1:8" x14ac:dyDescent="0.25">
      <c r="A11" s="2" t="s">
        <v>21</v>
      </c>
      <c r="B11" s="3">
        <v>100</v>
      </c>
      <c r="C11" s="2">
        <v>20</v>
      </c>
      <c r="D11" s="2" t="s">
        <v>14</v>
      </c>
      <c r="E11" s="4"/>
      <c r="F11" s="2">
        <f t="shared" si="0"/>
        <v>20</v>
      </c>
      <c r="G11" s="2" t="s">
        <v>137</v>
      </c>
      <c r="H11" s="2" t="str">
        <f t="shared" si="1"/>
        <v/>
      </c>
    </row>
    <row r="12" spans="1:8" x14ac:dyDescent="0.25">
      <c r="A12" s="2" t="s">
        <v>127</v>
      </c>
      <c r="B12" s="3">
        <v>250</v>
      </c>
      <c r="C12" s="2">
        <v>10</v>
      </c>
      <c r="D12" s="2" t="s">
        <v>15</v>
      </c>
      <c r="E12" s="4"/>
      <c r="F12" s="2">
        <f t="shared" si="0"/>
        <v>10</v>
      </c>
      <c r="G12" s="2" t="s">
        <v>138</v>
      </c>
      <c r="H12" s="2">
        <f t="shared" si="1"/>
        <v>10</v>
      </c>
    </row>
    <row r="13" spans="1:8" x14ac:dyDescent="0.25">
      <c r="A13" s="2" t="s">
        <v>128</v>
      </c>
      <c r="B13" s="3">
        <v>250</v>
      </c>
      <c r="C13" s="2">
        <v>10</v>
      </c>
      <c r="D13" s="2" t="s">
        <v>16</v>
      </c>
      <c r="E13" s="4"/>
      <c r="F13" s="2">
        <f t="shared" si="0"/>
        <v>10</v>
      </c>
      <c r="G13" s="2" t="s">
        <v>138</v>
      </c>
      <c r="H13" s="2">
        <f t="shared" si="1"/>
        <v>10</v>
      </c>
    </row>
    <row r="14" spans="1:8" x14ac:dyDescent="0.25">
      <c r="A14" s="2" t="s">
        <v>129</v>
      </c>
      <c r="B14" s="3">
        <v>300</v>
      </c>
      <c r="C14" s="2">
        <v>5</v>
      </c>
      <c r="D14" s="2" t="s">
        <v>18</v>
      </c>
      <c r="E14" s="4">
        <v>1</v>
      </c>
      <c r="F14" s="2">
        <f t="shared" si="0"/>
        <v>4</v>
      </c>
      <c r="G14" s="2" t="s">
        <v>138</v>
      </c>
      <c r="H14" s="2">
        <f t="shared" si="1"/>
        <v>5</v>
      </c>
    </row>
    <row r="15" spans="1:8" x14ac:dyDescent="0.25">
      <c r="B15" s="40">
        <f>B3*C3+B4*C4+C5*B5+B6*C6+C7*B7+B8*C8+C9*B9+B10*C10+C11*B11+B12*C12+C13*B13+C14*B14</f>
        <v>48910</v>
      </c>
      <c r="C15" s="1">
        <f>SUM(C3:C14)</f>
        <v>495</v>
      </c>
      <c r="H15" s="1">
        <f>SUM(H3:H14)</f>
        <v>235</v>
      </c>
    </row>
  </sheetData>
  <conditionalFormatting sqref="A2:B14">
    <cfRule type="containsText" priority="1" operator="containsText" text="Pass Prenium">
      <formula>NOT(ISERROR(SEARCH("Pass Prenium",A2)))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/>
  <dimension ref="A1:O14"/>
  <sheetViews>
    <sheetView workbookViewId="0">
      <selection activeCell="L8" sqref="L8:O14"/>
    </sheetView>
  </sheetViews>
  <sheetFormatPr baseColWidth="10" defaultRowHeight="15" x14ac:dyDescent="0.25"/>
  <sheetData>
    <row r="1" spans="1:15" x14ac:dyDescent="0.25">
      <c r="G1" t="s">
        <v>123</v>
      </c>
    </row>
    <row r="2" spans="1:15" x14ac:dyDescent="0.25">
      <c r="A2" t="s">
        <v>122</v>
      </c>
      <c r="F2" t="s">
        <v>49</v>
      </c>
      <c r="G2" t="s">
        <v>54</v>
      </c>
      <c r="H2" t="s">
        <v>59</v>
      </c>
    </row>
    <row r="4" spans="1:15" x14ac:dyDescent="0.25">
      <c r="B4" t="s">
        <v>85</v>
      </c>
    </row>
    <row r="5" spans="1:15" x14ac:dyDescent="0.25">
      <c r="B5" t="s">
        <v>86</v>
      </c>
    </row>
    <row r="7" spans="1:15" x14ac:dyDescent="0.25">
      <c r="B7" s="92" t="s">
        <v>139</v>
      </c>
      <c r="C7" s="92"/>
      <c r="D7" s="92"/>
      <c r="E7" s="92"/>
      <c r="G7" s="92" t="s">
        <v>140</v>
      </c>
      <c r="H7" s="92"/>
      <c r="I7" s="92"/>
      <c r="J7" s="92"/>
      <c r="L7" s="92" t="s">
        <v>141</v>
      </c>
      <c r="M7" s="92"/>
      <c r="N7" s="92"/>
      <c r="O7" s="92"/>
    </row>
    <row r="8" spans="1:15" x14ac:dyDescent="0.25">
      <c r="B8" s="2" t="s">
        <v>93</v>
      </c>
      <c r="C8" s="2" t="s">
        <v>49</v>
      </c>
      <c r="D8" s="2" t="s">
        <v>54</v>
      </c>
      <c r="E8" s="2" t="s">
        <v>59</v>
      </c>
      <c r="G8" s="2" t="s">
        <v>93</v>
      </c>
      <c r="H8" s="2" t="s">
        <v>49</v>
      </c>
      <c r="I8" s="2" t="s">
        <v>54</v>
      </c>
      <c r="J8" s="2" t="s">
        <v>59</v>
      </c>
      <c r="L8" s="2" t="s">
        <v>93</v>
      </c>
      <c r="M8" s="2" t="s">
        <v>49</v>
      </c>
      <c r="N8" s="2" t="s">
        <v>54</v>
      </c>
      <c r="O8" s="2" t="s">
        <v>59</v>
      </c>
    </row>
    <row r="9" spans="1:15" x14ac:dyDescent="0.25">
      <c r="B9" s="37" t="s">
        <v>87</v>
      </c>
      <c r="C9" t="s">
        <v>51</v>
      </c>
      <c r="G9" s="37" t="s">
        <v>87</v>
      </c>
      <c r="H9" t="s">
        <v>52</v>
      </c>
      <c r="L9" s="37" t="s">
        <v>87</v>
      </c>
    </row>
    <row r="10" spans="1:15" x14ac:dyDescent="0.25">
      <c r="B10" s="2" t="s">
        <v>88</v>
      </c>
      <c r="G10" s="2" t="s">
        <v>88</v>
      </c>
      <c r="H10" t="s">
        <v>53</v>
      </c>
      <c r="L10" s="2" t="s">
        <v>88</v>
      </c>
    </row>
    <row r="11" spans="1:15" x14ac:dyDescent="0.25">
      <c r="B11" s="2" t="s">
        <v>89</v>
      </c>
      <c r="G11" s="2" t="s">
        <v>89</v>
      </c>
      <c r="L11" s="2" t="s">
        <v>89</v>
      </c>
    </row>
    <row r="12" spans="1:15" x14ac:dyDescent="0.25">
      <c r="B12" s="2" t="s">
        <v>90</v>
      </c>
      <c r="G12" s="2" t="s">
        <v>90</v>
      </c>
      <c r="L12" s="2" t="s">
        <v>90</v>
      </c>
      <c r="N12" t="s">
        <v>52</v>
      </c>
    </row>
    <row r="13" spans="1:15" x14ac:dyDescent="0.25">
      <c r="B13" s="2" t="s">
        <v>91</v>
      </c>
      <c r="G13" s="2" t="s">
        <v>91</v>
      </c>
      <c r="L13" s="2" t="s">
        <v>91</v>
      </c>
    </row>
    <row r="14" spans="1:15" x14ac:dyDescent="0.25">
      <c r="B14" s="2" t="s">
        <v>92</v>
      </c>
      <c r="G14" s="2" t="s">
        <v>92</v>
      </c>
      <c r="L14" s="2" t="s">
        <v>92</v>
      </c>
    </row>
  </sheetData>
  <mergeCells count="3">
    <mergeCell ref="B7:E7"/>
    <mergeCell ref="G7:J7"/>
    <mergeCell ref="L7:O7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uton8_Cliquer">
                <anchor moveWithCells="1" sizeWithCells="1">
                  <from>
                    <xdr:col>6</xdr:col>
                    <xdr:colOff>619125</xdr:colOff>
                    <xdr:row>15</xdr:row>
                    <xdr:rowOff>104775</xdr:rowOff>
                  </from>
                  <to>
                    <xdr:col>8</xdr:col>
                    <xdr:colOff>485775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/>
  <dimension ref="B2:K33"/>
  <sheetViews>
    <sheetView workbookViewId="0">
      <selection activeCell="K3" sqref="K3:K8"/>
    </sheetView>
  </sheetViews>
  <sheetFormatPr baseColWidth="10" defaultRowHeight="15" x14ac:dyDescent="0.25"/>
  <sheetData>
    <row r="2" spans="2:11" ht="45" x14ac:dyDescent="0.25">
      <c r="B2" s="5" t="s">
        <v>269</v>
      </c>
      <c r="F2" s="2" t="s">
        <v>98</v>
      </c>
      <c r="I2" s="23" t="s">
        <v>85</v>
      </c>
      <c r="J2" s="24" t="s">
        <v>86</v>
      </c>
      <c r="K2" s="2" t="s">
        <v>105</v>
      </c>
    </row>
    <row r="3" spans="2:11" x14ac:dyDescent="0.25">
      <c r="B3" s="2">
        <v>1</v>
      </c>
      <c r="F3" s="2" t="s">
        <v>48</v>
      </c>
      <c r="I3" s="23" t="s">
        <v>49</v>
      </c>
      <c r="J3" s="25" t="s">
        <v>139</v>
      </c>
      <c r="K3" s="2" t="s">
        <v>87</v>
      </c>
    </row>
    <row r="4" spans="2:11" x14ac:dyDescent="0.25">
      <c r="B4" s="2">
        <v>2</v>
      </c>
      <c r="F4" s="2" t="s">
        <v>51</v>
      </c>
      <c r="I4" s="23" t="s">
        <v>54</v>
      </c>
      <c r="J4" s="25" t="s">
        <v>140</v>
      </c>
      <c r="K4" s="2" t="s">
        <v>88</v>
      </c>
    </row>
    <row r="5" spans="2:11" x14ac:dyDescent="0.25">
      <c r="B5" s="2">
        <v>3</v>
      </c>
      <c r="F5" s="2" t="s">
        <v>52</v>
      </c>
      <c r="I5" s="23" t="s">
        <v>59</v>
      </c>
      <c r="J5" s="25" t="s">
        <v>141</v>
      </c>
      <c r="K5" s="2" t="s">
        <v>89</v>
      </c>
    </row>
    <row r="6" spans="2:11" x14ac:dyDescent="0.25">
      <c r="B6" s="2">
        <v>4</v>
      </c>
      <c r="F6" s="2" t="s">
        <v>53</v>
      </c>
      <c r="K6" s="2" t="s">
        <v>90</v>
      </c>
    </row>
    <row r="7" spans="2:11" x14ac:dyDescent="0.25">
      <c r="F7" s="2" t="s">
        <v>55</v>
      </c>
      <c r="K7" s="2" t="s">
        <v>91</v>
      </c>
    </row>
    <row r="8" spans="2:11" x14ac:dyDescent="0.25">
      <c r="F8" s="2" t="s">
        <v>56</v>
      </c>
      <c r="K8" s="2" t="s">
        <v>92</v>
      </c>
    </row>
    <row r="9" spans="2:11" x14ac:dyDescent="0.25">
      <c r="F9" s="2" t="s">
        <v>57</v>
      </c>
    </row>
    <row r="10" spans="2:11" x14ac:dyDescent="0.25">
      <c r="B10" t="s">
        <v>270</v>
      </c>
      <c r="C10" t="s">
        <v>271</v>
      </c>
      <c r="F10" s="2" t="s">
        <v>58</v>
      </c>
    </row>
    <row r="11" spans="2:11" x14ac:dyDescent="0.25">
      <c r="F11" s="2" t="s">
        <v>60</v>
      </c>
    </row>
    <row r="12" spans="2:11" x14ac:dyDescent="0.25">
      <c r="B12" t="s">
        <v>272</v>
      </c>
      <c r="C12" t="s">
        <v>273</v>
      </c>
      <c r="F12" s="2" t="s">
        <v>61</v>
      </c>
    </row>
    <row r="13" spans="2:11" x14ac:dyDescent="0.25">
      <c r="F13" s="2" t="s">
        <v>62</v>
      </c>
    </row>
    <row r="14" spans="2:11" x14ac:dyDescent="0.25">
      <c r="F14" s="2" t="s">
        <v>64</v>
      </c>
    </row>
    <row r="15" spans="2:11" x14ac:dyDescent="0.25">
      <c r="F15" s="2" t="s">
        <v>65</v>
      </c>
    </row>
    <row r="16" spans="2:11" x14ac:dyDescent="0.25">
      <c r="F16" s="2" t="s">
        <v>66</v>
      </c>
    </row>
    <row r="17" spans="6:6" x14ac:dyDescent="0.25">
      <c r="F17" s="2" t="s">
        <v>67</v>
      </c>
    </row>
    <row r="18" spans="6:6" x14ac:dyDescent="0.25">
      <c r="F18" s="2" t="s">
        <v>68</v>
      </c>
    </row>
    <row r="19" spans="6:6" x14ac:dyDescent="0.25">
      <c r="F19" s="2" t="s">
        <v>69</v>
      </c>
    </row>
    <row r="20" spans="6:6" x14ac:dyDescent="0.25">
      <c r="F20" s="2" t="s">
        <v>70</v>
      </c>
    </row>
    <row r="21" spans="6:6" x14ac:dyDescent="0.25">
      <c r="F21" s="2" t="s">
        <v>71</v>
      </c>
    </row>
    <row r="22" spans="6:6" x14ac:dyDescent="0.25">
      <c r="F22" s="2" t="s">
        <v>72</v>
      </c>
    </row>
    <row r="23" spans="6:6" x14ac:dyDescent="0.25">
      <c r="F23" s="2" t="s">
        <v>73</v>
      </c>
    </row>
    <row r="24" spans="6:6" x14ac:dyDescent="0.25">
      <c r="F24" s="2" t="s">
        <v>74</v>
      </c>
    </row>
    <row r="25" spans="6:6" x14ac:dyDescent="0.25">
      <c r="F25" s="2" t="s">
        <v>75</v>
      </c>
    </row>
    <row r="26" spans="6:6" x14ac:dyDescent="0.25">
      <c r="F26" s="2" t="s">
        <v>77</v>
      </c>
    </row>
    <row r="27" spans="6:6" x14ac:dyDescent="0.25">
      <c r="F27" s="2" t="s">
        <v>78</v>
      </c>
    </row>
    <row r="28" spans="6:6" x14ac:dyDescent="0.25">
      <c r="F28" s="2" t="s">
        <v>79</v>
      </c>
    </row>
    <row r="29" spans="6:6" x14ac:dyDescent="0.25">
      <c r="F29" s="2" t="s">
        <v>80</v>
      </c>
    </row>
    <row r="30" spans="6:6" x14ac:dyDescent="0.25">
      <c r="F30" s="2" t="s">
        <v>81</v>
      </c>
    </row>
    <row r="31" spans="6:6" x14ac:dyDescent="0.25">
      <c r="F31" s="2" t="s">
        <v>82</v>
      </c>
    </row>
    <row r="32" spans="6:6" x14ac:dyDescent="0.25">
      <c r="F32" s="2" t="s">
        <v>83</v>
      </c>
    </row>
    <row r="33" spans="6:6" x14ac:dyDescent="0.25">
      <c r="F33" s="2" t="s">
        <v>84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/>
  <dimension ref="A1"/>
  <sheetViews>
    <sheetView workbookViewId="0">
      <selection activeCell="B5" sqref="B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/>
  <dimension ref="A1:L65"/>
  <sheetViews>
    <sheetView workbookViewId="0">
      <selection activeCell="F18" sqref="F18"/>
    </sheetView>
  </sheetViews>
  <sheetFormatPr baseColWidth="10" defaultRowHeight="15" x14ac:dyDescent="0.25"/>
  <cols>
    <col min="1" max="1" width="16.42578125" bestFit="1" customWidth="1"/>
    <col min="8" max="8" width="15.140625" bestFit="1" customWidth="1"/>
    <col min="10" max="10" width="16.42578125" bestFit="1" customWidth="1"/>
    <col min="13" max="13" width="16.7109375" bestFit="1" customWidth="1"/>
  </cols>
  <sheetData>
    <row r="1" spans="1:12" x14ac:dyDescent="0.25">
      <c r="A1" s="1" t="s">
        <v>143</v>
      </c>
      <c r="B1" s="1" t="s">
        <v>1</v>
      </c>
      <c r="C1" s="1" t="s">
        <v>246</v>
      </c>
      <c r="D1" s="1" t="s">
        <v>247</v>
      </c>
      <c r="E1" s="38" t="s">
        <v>249</v>
      </c>
      <c r="F1" s="38" t="s">
        <v>248</v>
      </c>
    </row>
    <row r="2" spans="1:12" x14ac:dyDescent="0.25">
      <c r="A2" s="2" t="s">
        <v>144</v>
      </c>
      <c r="B2" s="41">
        <v>25</v>
      </c>
      <c r="C2" s="2">
        <f>B7+B8</f>
        <v>170</v>
      </c>
      <c r="D2" s="4"/>
      <c r="E2" s="57">
        <f>C2-D2</f>
        <v>170</v>
      </c>
      <c r="F2" s="41"/>
    </row>
    <row r="3" spans="1:12" x14ac:dyDescent="0.25">
      <c r="A3" s="2" t="s">
        <v>145</v>
      </c>
      <c r="B3" s="41">
        <v>90</v>
      </c>
      <c r="C3" s="2">
        <f>B9</f>
        <v>20</v>
      </c>
      <c r="D3" s="4"/>
      <c r="E3" s="57">
        <f>C3-D3</f>
        <v>20</v>
      </c>
      <c r="F3" s="41"/>
    </row>
    <row r="4" spans="1:12" x14ac:dyDescent="0.25">
      <c r="A4" s="2" t="s">
        <v>234</v>
      </c>
      <c r="B4" s="41">
        <v>75</v>
      </c>
      <c r="C4" s="2">
        <f>B10</f>
        <v>45</v>
      </c>
      <c r="D4" s="4"/>
      <c r="E4" s="57">
        <f>C4-D4</f>
        <v>45</v>
      </c>
      <c r="F4" s="41"/>
    </row>
    <row r="5" spans="1:12" x14ac:dyDescent="0.25">
      <c r="I5" s="93" t="s">
        <v>233</v>
      </c>
      <c r="J5" s="94"/>
      <c r="K5" s="94"/>
      <c r="L5" s="95"/>
    </row>
    <row r="6" spans="1:12" x14ac:dyDescent="0.25">
      <c r="A6" s="1" t="s">
        <v>143</v>
      </c>
      <c r="B6" s="1" t="s">
        <v>147</v>
      </c>
      <c r="C6" s="1" t="s">
        <v>148</v>
      </c>
      <c r="D6" s="1" t="s">
        <v>149</v>
      </c>
      <c r="E6" s="1" t="s">
        <v>239</v>
      </c>
      <c r="I6" s="96" t="s">
        <v>145</v>
      </c>
      <c r="J6" s="97"/>
      <c r="K6" s="98" t="s">
        <v>234</v>
      </c>
      <c r="L6" s="99"/>
    </row>
    <row r="7" spans="1:12" x14ac:dyDescent="0.25">
      <c r="A7" s="2" t="s">
        <v>235</v>
      </c>
      <c r="B7" s="2">
        <v>85</v>
      </c>
      <c r="C7" s="4"/>
      <c r="D7" s="41">
        <v>25</v>
      </c>
      <c r="E7" s="41">
        <f>D7*C7</f>
        <v>0</v>
      </c>
      <c r="I7" s="1" t="s">
        <v>2</v>
      </c>
      <c r="J7" s="1" t="s">
        <v>148</v>
      </c>
      <c r="K7" s="51" t="s">
        <v>2</v>
      </c>
      <c r="L7" s="51" t="s">
        <v>148</v>
      </c>
    </row>
    <row r="8" spans="1:12" x14ac:dyDescent="0.25">
      <c r="A8" s="2" t="s">
        <v>236</v>
      </c>
      <c r="B8" s="2">
        <v>85</v>
      </c>
      <c r="C8" s="4"/>
      <c r="D8" s="41">
        <v>25</v>
      </c>
      <c r="E8" s="41">
        <f>D8*C8</f>
        <v>0</v>
      </c>
      <c r="I8" s="2" t="s">
        <v>155</v>
      </c>
      <c r="J8" s="4"/>
      <c r="K8" s="2" t="s">
        <v>162</v>
      </c>
      <c r="L8" s="4"/>
    </row>
    <row r="9" spans="1:12" x14ac:dyDescent="0.25">
      <c r="A9" s="2" t="s">
        <v>145</v>
      </c>
      <c r="B9" s="2">
        <v>20</v>
      </c>
      <c r="C9" s="4"/>
      <c r="D9" s="41">
        <v>90</v>
      </c>
      <c r="E9" s="42">
        <f>D9*C9</f>
        <v>0</v>
      </c>
      <c r="I9" s="39" t="s">
        <v>156</v>
      </c>
      <c r="J9" s="4"/>
      <c r="K9" s="2" t="s">
        <v>163</v>
      </c>
      <c r="L9" s="4"/>
    </row>
    <row r="10" spans="1:12" x14ac:dyDescent="0.25">
      <c r="A10" s="2" t="s">
        <v>234</v>
      </c>
      <c r="B10" s="39">
        <f>B17-B9</f>
        <v>45</v>
      </c>
      <c r="C10" s="4"/>
      <c r="D10" s="42">
        <v>75</v>
      </c>
      <c r="E10" s="42">
        <f>D10*C10</f>
        <v>0</v>
      </c>
      <c r="I10" s="2" t="s">
        <v>157</v>
      </c>
      <c r="J10" s="4"/>
      <c r="K10" s="2" t="s">
        <v>164</v>
      </c>
      <c r="L10" s="4"/>
    </row>
    <row r="11" spans="1:12" x14ac:dyDescent="0.25">
      <c r="A11" s="1" t="s">
        <v>146</v>
      </c>
      <c r="B11" s="2">
        <f>Billet!H15</f>
        <v>235</v>
      </c>
      <c r="D11" s="40">
        <f>B7*D7+D9*B9+B10*D10</f>
        <v>7300</v>
      </c>
      <c r="E11" s="40">
        <f>C7*E7+E9*C9+C10*E10</f>
        <v>0</v>
      </c>
      <c r="I11" s="2" t="s">
        <v>158</v>
      </c>
      <c r="J11" s="4"/>
      <c r="K11" s="2" t="s">
        <v>165</v>
      </c>
      <c r="L11" s="4"/>
    </row>
    <row r="12" spans="1:12" x14ac:dyDescent="0.25">
      <c r="I12" s="39" t="s">
        <v>159</v>
      </c>
      <c r="J12" s="4"/>
      <c r="K12" s="2" t="s">
        <v>166</v>
      </c>
      <c r="L12" s="4"/>
    </row>
    <row r="13" spans="1:12" x14ac:dyDescent="0.25">
      <c r="I13" s="2" t="s">
        <v>160</v>
      </c>
      <c r="J13" s="4"/>
      <c r="K13" s="2" t="s">
        <v>167</v>
      </c>
      <c r="L13" s="4"/>
    </row>
    <row r="14" spans="1:12" s="52" customFormat="1" ht="30" x14ac:dyDescent="0.25">
      <c r="A14" s="53" t="s">
        <v>238</v>
      </c>
      <c r="B14" s="56" t="s">
        <v>153</v>
      </c>
      <c r="C14" s="56" t="s">
        <v>148</v>
      </c>
      <c r="D14" s="56" t="s">
        <v>237</v>
      </c>
      <c r="I14" s="54" t="s">
        <v>161</v>
      </c>
      <c r="J14" s="55"/>
      <c r="K14" s="54" t="s">
        <v>168</v>
      </c>
      <c r="L14" s="55"/>
    </row>
    <row r="15" spans="1:12" x14ac:dyDescent="0.25">
      <c r="A15" s="2" t="s">
        <v>150</v>
      </c>
      <c r="B15" s="2">
        <f>B7</f>
        <v>85</v>
      </c>
      <c r="C15" s="2">
        <f>C7</f>
        <v>0</v>
      </c>
      <c r="D15" s="41">
        <f>E7</f>
        <v>0</v>
      </c>
      <c r="I15" s="39" t="s">
        <v>220</v>
      </c>
      <c r="J15" s="4"/>
      <c r="K15" s="2" t="s">
        <v>169</v>
      </c>
      <c r="L15" s="4"/>
    </row>
    <row r="16" spans="1:12" x14ac:dyDescent="0.25">
      <c r="A16" s="2" t="s">
        <v>151</v>
      </c>
      <c r="B16" s="2">
        <f>B8</f>
        <v>85</v>
      </c>
      <c r="C16" s="2">
        <f>C8</f>
        <v>0</v>
      </c>
      <c r="D16" s="41">
        <f>E8</f>
        <v>0</v>
      </c>
      <c r="I16" s="2" t="s">
        <v>221</v>
      </c>
      <c r="J16" s="4"/>
      <c r="K16" s="2" t="s">
        <v>170</v>
      </c>
      <c r="L16" s="4"/>
    </row>
    <row r="17" spans="1:12" x14ac:dyDescent="0.25">
      <c r="A17" s="39" t="s">
        <v>152</v>
      </c>
      <c r="B17" s="39">
        <v>65</v>
      </c>
      <c r="C17" s="2">
        <f>C9+C10</f>
        <v>0</v>
      </c>
      <c r="D17" s="41">
        <f>E9+E10</f>
        <v>0</v>
      </c>
      <c r="I17" s="2" t="s">
        <v>222</v>
      </c>
      <c r="J17" s="4"/>
      <c r="K17" s="2" t="s">
        <v>171</v>
      </c>
      <c r="L17" s="4"/>
    </row>
    <row r="18" spans="1:12" x14ac:dyDescent="0.25">
      <c r="I18" s="39" t="s">
        <v>223</v>
      </c>
      <c r="J18" s="4"/>
      <c r="K18" s="2" t="s">
        <v>172</v>
      </c>
      <c r="L18" s="4"/>
    </row>
    <row r="19" spans="1:12" x14ac:dyDescent="0.25">
      <c r="I19" s="2" t="s">
        <v>224</v>
      </c>
      <c r="J19" s="4"/>
      <c r="K19" s="2" t="s">
        <v>173</v>
      </c>
      <c r="L19" s="4"/>
    </row>
    <row r="20" spans="1:12" x14ac:dyDescent="0.25">
      <c r="I20" s="2" t="s">
        <v>225</v>
      </c>
      <c r="J20" s="4"/>
      <c r="K20" s="2" t="s">
        <v>174</v>
      </c>
      <c r="L20" s="4"/>
    </row>
    <row r="21" spans="1:12" x14ac:dyDescent="0.25">
      <c r="I21" s="39" t="s">
        <v>226</v>
      </c>
      <c r="J21" s="4"/>
      <c r="K21" s="2" t="s">
        <v>175</v>
      </c>
      <c r="L21" s="4"/>
    </row>
    <row r="22" spans="1:12" x14ac:dyDescent="0.25">
      <c r="I22" s="2" t="s">
        <v>227</v>
      </c>
      <c r="J22" s="4"/>
      <c r="K22" s="2" t="s">
        <v>176</v>
      </c>
      <c r="L22" s="4"/>
    </row>
    <row r="23" spans="1:12" x14ac:dyDescent="0.25">
      <c r="I23" s="2" t="s">
        <v>228</v>
      </c>
      <c r="J23" s="4"/>
      <c r="K23" s="2" t="s">
        <v>177</v>
      </c>
      <c r="L23" s="4"/>
    </row>
    <row r="24" spans="1:12" x14ac:dyDescent="0.25">
      <c r="I24" s="39" t="s">
        <v>229</v>
      </c>
      <c r="J24" s="4"/>
      <c r="K24" s="2" t="s">
        <v>178</v>
      </c>
      <c r="L24" s="4"/>
    </row>
    <row r="25" spans="1:12" x14ac:dyDescent="0.25">
      <c r="I25" s="2" t="s">
        <v>230</v>
      </c>
      <c r="J25" s="4"/>
      <c r="K25" s="2" t="s">
        <v>179</v>
      </c>
      <c r="L25" s="4"/>
    </row>
    <row r="26" spans="1:12" x14ac:dyDescent="0.25">
      <c r="I26" s="2" t="s">
        <v>231</v>
      </c>
      <c r="J26" s="4"/>
      <c r="K26" s="2" t="s">
        <v>180</v>
      </c>
      <c r="L26" s="4"/>
    </row>
    <row r="27" spans="1:12" x14ac:dyDescent="0.25">
      <c r="I27" s="39" t="s">
        <v>232</v>
      </c>
      <c r="J27" s="4"/>
      <c r="K27" s="2" t="s">
        <v>181</v>
      </c>
      <c r="L27" s="4"/>
    </row>
    <row r="28" spans="1:12" x14ac:dyDescent="0.25">
      <c r="K28" s="2" t="s">
        <v>182</v>
      </c>
      <c r="L28" s="4"/>
    </row>
    <row r="29" spans="1:12" x14ac:dyDescent="0.25">
      <c r="K29" s="2" t="s">
        <v>183</v>
      </c>
      <c r="L29" s="4"/>
    </row>
    <row r="30" spans="1:12" x14ac:dyDescent="0.25">
      <c r="K30" s="2" t="s">
        <v>184</v>
      </c>
      <c r="L30" s="4"/>
    </row>
    <row r="31" spans="1:12" x14ac:dyDescent="0.25">
      <c r="K31" s="2" t="s">
        <v>185</v>
      </c>
      <c r="L31" s="4"/>
    </row>
    <row r="32" spans="1:12" x14ac:dyDescent="0.25">
      <c r="K32" s="2" t="s">
        <v>186</v>
      </c>
      <c r="L32" s="4"/>
    </row>
    <row r="33" spans="11:12" x14ac:dyDescent="0.25">
      <c r="K33" s="2" t="s">
        <v>187</v>
      </c>
      <c r="L33" s="4"/>
    </row>
    <row r="34" spans="11:12" x14ac:dyDescent="0.25">
      <c r="K34" s="2" t="s">
        <v>188</v>
      </c>
      <c r="L34" s="4"/>
    </row>
    <row r="35" spans="11:12" x14ac:dyDescent="0.25">
      <c r="K35" s="2" t="s">
        <v>189</v>
      </c>
      <c r="L35" s="4"/>
    </row>
    <row r="36" spans="11:12" x14ac:dyDescent="0.25">
      <c r="K36" s="2" t="s">
        <v>190</v>
      </c>
      <c r="L36" s="4"/>
    </row>
    <row r="37" spans="11:12" x14ac:dyDescent="0.25">
      <c r="K37" s="2" t="s">
        <v>191</v>
      </c>
      <c r="L37" s="4"/>
    </row>
    <row r="38" spans="11:12" x14ac:dyDescent="0.25">
      <c r="K38" s="2" t="s">
        <v>192</v>
      </c>
      <c r="L38" s="4"/>
    </row>
    <row r="39" spans="11:12" x14ac:dyDescent="0.25">
      <c r="K39" s="2" t="s">
        <v>193</v>
      </c>
      <c r="L39" s="4"/>
    </row>
    <row r="40" spans="11:12" x14ac:dyDescent="0.25">
      <c r="K40" s="2" t="s">
        <v>194</v>
      </c>
      <c r="L40" s="4"/>
    </row>
    <row r="41" spans="11:12" x14ac:dyDescent="0.25">
      <c r="K41" s="2" t="s">
        <v>195</v>
      </c>
      <c r="L41" s="4"/>
    </row>
    <row r="42" spans="11:12" x14ac:dyDescent="0.25">
      <c r="K42" s="2" t="s">
        <v>196</v>
      </c>
      <c r="L42" s="4"/>
    </row>
    <row r="43" spans="11:12" x14ac:dyDescent="0.25">
      <c r="K43" s="2" t="s">
        <v>197</v>
      </c>
      <c r="L43" s="4"/>
    </row>
    <row r="44" spans="11:12" x14ac:dyDescent="0.25">
      <c r="K44" s="2" t="s">
        <v>198</v>
      </c>
      <c r="L44" s="4"/>
    </row>
    <row r="45" spans="11:12" x14ac:dyDescent="0.25">
      <c r="K45" s="2" t="s">
        <v>199</v>
      </c>
      <c r="L45" s="4"/>
    </row>
    <row r="46" spans="11:12" x14ac:dyDescent="0.25">
      <c r="K46" s="2" t="s">
        <v>200</v>
      </c>
      <c r="L46" s="4"/>
    </row>
    <row r="47" spans="11:12" x14ac:dyDescent="0.25">
      <c r="K47" s="2" t="s">
        <v>201</v>
      </c>
      <c r="L47" s="4"/>
    </row>
    <row r="48" spans="11:12" x14ac:dyDescent="0.25">
      <c r="K48" s="2" t="s">
        <v>202</v>
      </c>
      <c r="L48" s="4"/>
    </row>
    <row r="49" spans="11:12" x14ac:dyDescent="0.25">
      <c r="K49" s="2" t="s">
        <v>203</v>
      </c>
      <c r="L49" s="4"/>
    </row>
    <row r="50" spans="11:12" x14ac:dyDescent="0.25">
      <c r="K50" s="2" t="s">
        <v>204</v>
      </c>
      <c r="L50" s="4"/>
    </row>
    <row r="51" spans="11:12" x14ac:dyDescent="0.25">
      <c r="K51" s="2" t="s">
        <v>205</v>
      </c>
      <c r="L51" s="4"/>
    </row>
    <row r="52" spans="11:12" x14ac:dyDescent="0.25">
      <c r="K52" s="2" t="s">
        <v>206</v>
      </c>
      <c r="L52" s="4"/>
    </row>
    <row r="53" spans="11:12" x14ac:dyDescent="0.25">
      <c r="K53" s="2" t="s">
        <v>207</v>
      </c>
      <c r="L53" s="4"/>
    </row>
    <row r="54" spans="11:12" x14ac:dyDescent="0.25">
      <c r="K54" s="2" t="s">
        <v>208</v>
      </c>
      <c r="L54" s="4"/>
    </row>
    <row r="55" spans="11:12" x14ac:dyDescent="0.25">
      <c r="K55" s="2" t="s">
        <v>209</v>
      </c>
      <c r="L55" s="4"/>
    </row>
    <row r="56" spans="11:12" x14ac:dyDescent="0.25">
      <c r="K56" s="2" t="s">
        <v>210</v>
      </c>
      <c r="L56" s="4"/>
    </row>
    <row r="57" spans="11:12" x14ac:dyDescent="0.25">
      <c r="K57" s="2" t="s">
        <v>211</v>
      </c>
      <c r="L57" s="4"/>
    </row>
    <row r="58" spans="11:12" x14ac:dyDescent="0.25">
      <c r="K58" s="2" t="s">
        <v>212</v>
      </c>
      <c r="L58" s="4"/>
    </row>
    <row r="59" spans="11:12" x14ac:dyDescent="0.25">
      <c r="K59" s="2" t="s">
        <v>213</v>
      </c>
      <c r="L59" s="4"/>
    </row>
    <row r="60" spans="11:12" x14ac:dyDescent="0.25">
      <c r="K60" s="2" t="s">
        <v>214</v>
      </c>
      <c r="L60" s="4"/>
    </row>
    <row r="61" spans="11:12" x14ac:dyDescent="0.25">
      <c r="K61" s="2" t="s">
        <v>215</v>
      </c>
      <c r="L61" s="4"/>
    </row>
    <row r="62" spans="11:12" x14ac:dyDescent="0.25">
      <c r="K62" s="2" t="s">
        <v>216</v>
      </c>
      <c r="L62" s="4"/>
    </row>
    <row r="63" spans="11:12" x14ac:dyDescent="0.25">
      <c r="K63" s="2" t="s">
        <v>217</v>
      </c>
      <c r="L63" s="4"/>
    </row>
    <row r="64" spans="11:12" x14ac:dyDescent="0.25">
      <c r="K64" s="2" t="s">
        <v>218</v>
      </c>
      <c r="L64" s="4"/>
    </row>
    <row r="65" spans="11:12" x14ac:dyDescent="0.25">
      <c r="K65" s="2" t="s">
        <v>219</v>
      </c>
      <c r="L65" s="4"/>
    </row>
  </sheetData>
  <mergeCells count="3">
    <mergeCell ref="I5:L5"/>
    <mergeCell ref="I6:J6"/>
    <mergeCell ref="K6:L6"/>
  </mergeCells>
  <conditionalFormatting sqref="K8:K65 D6:D7 D9:D10 A6:B6 B7:B10 D1 F1">
    <cfRule type="containsText" priority="39" operator="containsText" text="Pass Prenium">
      <formula>NOT(ISERROR(SEARCH("Pass Prenium",A1)))</formula>
    </cfRule>
  </conditionalFormatting>
  <conditionalFormatting sqref="I5">
    <cfRule type="containsText" priority="31" operator="containsText" text="Pass Prenium">
      <formula>NOT(ISERROR(SEARCH("Pass Prenium",I5)))</formula>
    </cfRule>
  </conditionalFormatting>
  <conditionalFormatting sqref="A14:B17">
    <cfRule type="containsText" priority="35" operator="containsText" text="Pass Prenium">
      <formula>NOT(ISERROR(SEARCH("Pass Prenium",A14)))</formula>
    </cfRule>
  </conditionalFormatting>
  <conditionalFormatting sqref="A11">
    <cfRule type="containsText" priority="34" operator="containsText" text="Pass Prenium">
      <formula>NOT(ISERROR(SEARCH("Pass Prenium",A11)))</formula>
    </cfRule>
  </conditionalFormatting>
  <conditionalFormatting sqref="B11">
    <cfRule type="containsText" priority="33" operator="containsText" text="Pass Prenium">
      <formula>NOT(ISERROR(SEARCH("Pass Prenium",B11)))</formula>
    </cfRule>
  </conditionalFormatting>
  <conditionalFormatting sqref="I7:I27">
    <cfRule type="containsText" priority="29" operator="containsText" text="Pass Prenium">
      <formula>NOT(ISERROR(SEARCH("Pass Prenium",I7)))</formula>
    </cfRule>
  </conditionalFormatting>
  <conditionalFormatting sqref="I6">
    <cfRule type="containsText" priority="28" operator="containsText" text="Pass Prenium">
      <formula>NOT(ISERROR(SEARCH("Pass Prenium",I6)))</formula>
    </cfRule>
  </conditionalFormatting>
  <conditionalFormatting sqref="K6">
    <cfRule type="containsText" priority="27" operator="containsText" text="Pass Prenium">
      <formula>NOT(ISERROR(SEARCH("Pass Prenium",K6)))</formula>
    </cfRule>
  </conditionalFormatting>
  <conditionalFormatting sqref="D11:E11">
    <cfRule type="containsText" priority="21" operator="containsText" text="Pass Prenium">
      <formula>NOT(ISERROR(SEARCH("Pass Prenium",D11)))</formula>
    </cfRule>
  </conditionalFormatting>
  <conditionalFormatting sqref="D8">
    <cfRule type="containsText" priority="20" operator="containsText" text="Pass Prenium">
      <formula>NOT(ISERROR(SEARCH("Pass Prenium",D8)))</formula>
    </cfRule>
  </conditionalFormatting>
  <conditionalFormatting sqref="E6:E8">
    <cfRule type="containsText" priority="23" operator="containsText" text="Pass Prenium">
      <formula>NOT(ISERROR(SEARCH("Pass Prenium",E6)))</formula>
    </cfRule>
  </conditionalFormatting>
  <conditionalFormatting sqref="E9:E10">
    <cfRule type="containsText" priority="22" operator="containsText" text="Pass Prenium">
      <formula>NOT(ISERROR(SEARCH("Pass Prenium",E9)))</formula>
    </cfRule>
  </conditionalFormatting>
  <conditionalFormatting sqref="D17">
    <cfRule type="containsText" priority="12" operator="containsText" text="Pass Prenium">
      <formula>NOT(ISERROR(SEARCH("Pass Prenium",D17)))</formula>
    </cfRule>
  </conditionalFormatting>
  <conditionalFormatting sqref="C14">
    <cfRule type="containsText" priority="18" operator="containsText" text="Pass Prenium">
      <formula>NOT(ISERROR(SEARCH("Pass Prenium",C14)))</formula>
    </cfRule>
  </conditionalFormatting>
  <conditionalFormatting sqref="C15:C16">
    <cfRule type="containsText" priority="16" operator="containsText" text="Pass Prenium">
      <formula>NOT(ISERROR(SEARCH("Pass Prenium",C15)))</formula>
    </cfRule>
  </conditionalFormatting>
  <conditionalFormatting sqref="C17">
    <cfRule type="containsText" priority="15" operator="containsText" text="Pass Prenium">
      <formula>NOT(ISERROR(SEARCH("Pass Prenium",C17)))</formula>
    </cfRule>
  </conditionalFormatting>
  <conditionalFormatting sqref="D14">
    <cfRule type="containsText" priority="14" operator="containsText" text="Pass Prenium">
      <formula>NOT(ISERROR(SEARCH("Pass Prenium",D14)))</formula>
    </cfRule>
  </conditionalFormatting>
  <conditionalFormatting sqref="D15:D16">
    <cfRule type="containsText" priority="13" operator="containsText" text="Pass Prenium">
      <formula>NOT(ISERROR(SEARCH("Pass Prenium",D15)))</formula>
    </cfRule>
  </conditionalFormatting>
  <conditionalFormatting sqref="A7:A10">
    <cfRule type="containsText" priority="11" operator="containsText" text="Pass Prenium">
      <formula>NOT(ISERROR(SEARCH("Pass Prenium",A7)))</formula>
    </cfRule>
  </conditionalFormatting>
  <conditionalFormatting sqref="C2:C4">
    <cfRule type="containsText" priority="4" operator="containsText" text="Pass Prenium">
      <formula>NOT(ISERROR(SEARCH("Pass Prenium",C2)))</formula>
    </cfRule>
  </conditionalFormatting>
  <conditionalFormatting sqref="F2:F4">
    <cfRule type="containsText" priority="3" operator="containsText" text="Pass Prenium">
      <formula>NOT(ISERROR(SEARCH("Pass Prenium",F2)))</formula>
    </cfRule>
  </conditionalFormatting>
  <conditionalFormatting sqref="A1:B1 B2:B4">
    <cfRule type="containsText" priority="6" operator="containsText" text="Pass Prenium">
      <formula>NOT(ISERROR(SEARCH("Pass Prenium",A1)))</formula>
    </cfRule>
  </conditionalFormatting>
  <conditionalFormatting sqref="A2:A4">
    <cfRule type="containsText" priority="5" operator="containsText" text="Pass Prenium">
      <formula>NOT(ISERROR(SEARCH("Pass Prenium",A2)))</formula>
    </cfRule>
  </conditionalFormatting>
  <conditionalFormatting sqref="E2:E4">
    <cfRule type="containsText" priority="2" operator="containsText" text="Pass Prenium">
      <formula>NOT(ISERROR(SEARCH("Pass Prenium",E2)))</formula>
    </cfRule>
  </conditionalFormatting>
  <conditionalFormatting sqref="E1">
    <cfRule type="containsText" priority="1" operator="containsText" text="Pass Prenium">
      <formula>NOT(ISERROR(SEARCH("Pass Prenium",E1)))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/>
  <dimension ref="B2:J17"/>
  <sheetViews>
    <sheetView workbookViewId="0">
      <selection activeCell="B5" sqref="B5:J17"/>
    </sheetView>
  </sheetViews>
  <sheetFormatPr baseColWidth="10" defaultRowHeight="15" x14ac:dyDescent="0.25"/>
  <sheetData>
    <row r="2" spans="2:10" x14ac:dyDescent="0.25">
      <c r="F2" t="s">
        <v>154</v>
      </c>
    </row>
    <row r="5" spans="2:10" x14ac:dyDescent="0.25">
      <c r="B5" s="45" t="s">
        <v>155</v>
      </c>
      <c r="D5" s="48" t="s">
        <v>168</v>
      </c>
      <c r="E5" s="49" t="s">
        <v>181</v>
      </c>
      <c r="G5" s="48" t="s">
        <v>194</v>
      </c>
      <c r="H5" s="49" t="s">
        <v>207</v>
      </c>
      <c r="J5" s="43" t="s">
        <v>220</v>
      </c>
    </row>
    <row r="6" spans="2:10" x14ac:dyDescent="0.25">
      <c r="B6" s="46" t="s">
        <v>156</v>
      </c>
      <c r="D6" s="50" t="s">
        <v>169</v>
      </c>
      <c r="E6" s="47" t="s">
        <v>182</v>
      </c>
      <c r="G6" s="50" t="s">
        <v>195</v>
      </c>
      <c r="H6" s="47" t="s">
        <v>208</v>
      </c>
      <c r="J6" s="44" t="s">
        <v>221</v>
      </c>
    </row>
    <row r="7" spans="2:10" x14ac:dyDescent="0.25">
      <c r="B7" s="46" t="s">
        <v>157</v>
      </c>
      <c r="D7" s="50" t="s">
        <v>170</v>
      </c>
      <c r="E7" s="47" t="s">
        <v>183</v>
      </c>
      <c r="G7" s="50" t="s">
        <v>196</v>
      </c>
      <c r="H7" s="47" t="s">
        <v>209</v>
      </c>
      <c r="J7" s="44" t="s">
        <v>222</v>
      </c>
    </row>
    <row r="8" spans="2:10" x14ac:dyDescent="0.25">
      <c r="B8" s="46" t="s">
        <v>158</v>
      </c>
      <c r="D8" s="50" t="s">
        <v>171</v>
      </c>
      <c r="E8" s="47" t="s">
        <v>184</v>
      </c>
      <c r="G8" s="50" t="s">
        <v>197</v>
      </c>
      <c r="H8" s="47" t="s">
        <v>210</v>
      </c>
      <c r="J8" s="44" t="s">
        <v>223</v>
      </c>
    </row>
    <row r="9" spans="2:10" x14ac:dyDescent="0.25">
      <c r="B9" s="46" t="s">
        <v>159</v>
      </c>
      <c r="D9" s="50" t="s">
        <v>172</v>
      </c>
      <c r="E9" s="47" t="s">
        <v>185</v>
      </c>
      <c r="G9" s="50" t="s">
        <v>198</v>
      </c>
      <c r="H9" s="47" t="s">
        <v>211</v>
      </c>
      <c r="J9" s="44" t="s">
        <v>224</v>
      </c>
    </row>
    <row r="10" spans="2:10" x14ac:dyDescent="0.25">
      <c r="B10" s="46" t="s">
        <v>160</v>
      </c>
      <c r="D10" s="50" t="s">
        <v>173</v>
      </c>
      <c r="E10" s="47" t="s">
        <v>186</v>
      </c>
      <c r="G10" s="50" t="s">
        <v>199</v>
      </c>
      <c r="H10" s="47" t="s">
        <v>212</v>
      </c>
      <c r="J10" s="44" t="s">
        <v>225</v>
      </c>
    </row>
    <row r="11" spans="2:10" x14ac:dyDescent="0.25">
      <c r="B11" s="46" t="s">
        <v>161</v>
      </c>
      <c r="D11" s="50" t="s">
        <v>174</v>
      </c>
      <c r="E11" s="47" t="s">
        <v>187</v>
      </c>
      <c r="G11" s="50" t="s">
        <v>200</v>
      </c>
      <c r="H11" s="47" t="s">
        <v>213</v>
      </c>
      <c r="J11" s="44" t="s">
        <v>226</v>
      </c>
    </row>
    <row r="12" spans="2:10" x14ac:dyDescent="0.25">
      <c r="B12" s="47" t="s">
        <v>162</v>
      </c>
      <c r="D12" s="50" t="s">
        <v>175</v>
      </c>
      <c r="E12" s="47" t="s">
        <v>188</v>
      </c>
      <c r="G12" s="50" t="s">
        <v>201</v>
      </c>
      <c r="H12" s="47" t="s">
        <v>214</v>
      </c>
      <c r="J12" s="44" t="s">
        <v>227</v>
      </c>
    </row>
    <row r="13" spans="2:10" x14ac:dyDescent="0.25">
      <c r="B13" s="47" t="s">
        <v>163</v>
      </c>
      <c r="D13" s="50" t="s">
        <v>176</v>
      </c>
      <c r="E13" s="47" t="s">
        <v>189</v>
      </c>
      <c r="G13" s="50" t="s">
        <v>202</v>
      </c>
      <c r="H13" s="47" t="s">
        <v>215</v>
      </c>
      <c r="J13" s="44" t="s">
        <v>228</v>
      </c>
    </row>
    <row r="14" spans="2:10" x14ac:dyDescent="0.25">
      <c r="B14" s="47" t="s">
        <v>164</v>
      </c>
      <c r="D14" s="50" t="s">
        <v>177</v>
      </c>
      <c r="E14" s="47" t="s">
        <v>190</v>
      </c>
      <c r="G14" s="50" t="s">
        <v>203</v>
      </c>
      <c r="H14" s="47" t="s">
        <v>216</v>
      </c>
      <c r="J14" s="44" t="s">
        <v>229</v>
      </c>
    </row>
    <row r="15" spans="2:10" x14ac:dyDescent="0.25">
      <c r="B15" s="47" t="s">
        <v>165</v>
      </c>
      <c r="D15" s="50" t="s">
        <v>178</v>
      </c>
      <c r="E15" s="47" t="s">
        <v>191</v>
      </c>
      <c r="G15" s="50" t="s">
        <v>204</v>
      </c>
      <c r="H15" s="47" t="s">
        <v>217</v>
      </c>
      <c r="J15" s="44" t="s">
        <v>230</v>
      </c>
    </row>
    <row r="16" spans="2:10" x14ac:dyDescent="0.25">
      <c r="B16" s="47" t="s">
        <v>166</v>
      </c>
      <c r="D16" s="50" t="s">
        <v>179</v>
      </c>
      <c r="E16" s="47" t="s">
        <v>192</v>
      </c>
      <c r="G16" s="50" t="s">
        <v>205</v>
      </c>
      <c r="H16" s="47" t="s">
        <v>218</v>
      </c>
      <c r="J16" s="44" t="s">
        <v>231</v>
      </c>
    </row>
    <row r="17" spans="2:10" x14ac:dyDescent="0.25">
      <c r="B17" s="47" t="s">
        <v>167</v>
      </c>
      <c r="D17" s="50" t="s">
        <v>180</v>
      </c>
      <c r="E17" s="47" t="s">
        <v>193</v>
      </c>
      <c r="G17" s="50" t="s">
        <v>206</v>
      </c>
      <c r="H17" s="47" t="s">
        <v>219</v>
      </c>
      <c r="J17" s="44" t="s">
        <v>232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15</vt:i4>
      </vt:variant>
    </vt:vector>
  </HeadingPairs>
  <TitlesOfParts>
    <vt:vector size="26" baseType="lpstr">
      <vt:lpstr>Menu</vt:lpstr>
      <vt:lpstr>Facture Client</vt:lpstr>
      <vt:lpstr>Historique Client</vt:lpstr>
      <vt:lpstr>Facture Musicien</vt:lpstr>
      <vt:lpstr>Gestion musiciens</vt:lpstr>
      <vt:lpstr>Billet</vt:lpstr>
      <vt:lpstr>Planning</vt:lpstr>
      <vt:lpstr>Paramètres</vt:lpstr>
      <vt:lpstr>Carte</vt:lpstr>
      <vt:lpstr>Hébergement</vt:lpstr>
      <vt:lpstr>Gestion Hébergement</vt:lpstr>
      <vt:lpstr>liste_jour_source</vt:lpstr>
      <vt:lpstr>liste_scene_source</vt:lpstr>
      <vt:lpstr>lste_horaire_source</vt:lpstr>
      <vt:lpstr>message_mail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source_horaire</vt:lpstr>
      <vt:lpstr>source_qte_autorise</vt:lpstr>
      <vt:lpstr>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2020-01-18T11:10:14Z</cp:lastPrinted>
  <dcterms:created xsi:type="dcterms:W3CDTF">2020-01-17T16:23:10Z</dcterms:created>
  <dcterms:modified xsi:type="dcterms:W3CDTF">2020-01-25T12:24:40Z</dcterms:modified>
</cp:coreProperties>
</file>