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082E417B-BE19-4D04-BE2D-7A70CD4EB912}" xr6:coauthVersionLast="41" xr6:coauthVersionMax="45" xr10:uidLastSave="{00000000-0000-0000-0000-000000000000}"/>
  <bookViews>
    <workbookView xWindow="20370" yWindow="-120" windowWidth="29040" windowHeight="15840" xr2:uid="{BE08A7D6-A852-454E-98CE-15FE4FE64B8C}"/>
  </bookViews>
  <sheets>
    <sheet name="Menu" sheetId="2" r:id="rId1"/>
    <sheet name="Facture" sheetId="3" r:id="rId2"/>
    <sheet name="Facture musicien" sheetId="7" r:id="rId3"/>
    <sheet name="Gestion musiciens" sheetId="6" r:id="rId4"/>
    <sheet name="Historique Factures" sheetId="4" r:id="rId5"/>
    <sheet name="Billet" sheetId="1" r:id="rId6"/>
    <sheet name="Planning" sheetId="8" r:id="rId7"/>
  </sheets>
  <definedNames>
    <definedName name="liste_jour_source">'Gestion musiciens'!$O$3:$O$5</definedName>
    <definedName name="liste_scene_source">'Gestion musiciens'!$M$3:$M$5</definedName>
    <definedName name="lste_horaire_source">'Gestion musiciens'!$P$3:$P$8</definedName>
    <definedName name="ref_artiste_source">'Gestion musiciens'!$N$3:$N$33</definedName>
    <definedName name="source_horaire">'Gestion musiciens'!$P$2:$X$2</definedName>
    <definedName name="source_qte_autorise">Billet!$G$17:$G$20</definedName>
    <definedName name="source_type_billet">Billet!$A$3:$A$14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3" l="1"/>
  <c r="D12" i="7" l="1" a="1"/>
  <c r="D12" i="7" s="1"/>
  <c r="B11" i="7" a="1"/>
  <c r="B11" i="7" s="1"/>
  <c r="C15" i="1" l="1"/>
  <c r="K3" i="4"/>
  <c r="F14" i="1" l="1"/>
  <c r="F13" i="1"/>
  <c r="F12" i="1"/>
  <c r="F11" i="1"/>
  <c r="F10" i="1"/>
  <c r="F9" i="1"/>
  <c r="F8" i="1"/>
  <c r="F7" i="1"/>
  <c r="F6" i="1"/>
  <c r="F5" i="1"/>
  <c r="F4" i="1"/>
  <c r="F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<sst xmlns="http://schemas.openxmlformats.org/spreadsheetml/2006/main" count="267" uniqueCount="154">
  <si>
    <t>Type_Billet</t>
  </si>
  <si>
    <t>Prix</t>
  </si>
  <si>
    <t>Disponible</t>
  </si>
  <si>
    <t>ref</t>
  </si>
  <si>
    <t>vente</t>
  </si>
  <si>
    <t>Reste</t>
  </si>
  <si>
    <t>Billet Vendredi</t>
  </si>
  <si>
    <t>pass_vendredi</t>
  </si>
  <si>
    <t>Billet Samedi</t>
  </si>
  <si>
    <t>pass_samedi</t>
  </si>
  <si>
    <t>Billet Dimanche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</si>
  <si>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</si>
  <si>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</si>
  <si>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</si>
  <si>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</si>
  <si>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</si>
  <si>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</si>
  <si>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</si>
  <si>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</si>
  <si>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</si>
  <si>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</si>
  <si>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</si>
  <si>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</si>
  <si>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</si>
  <si>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</si>
  <si>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Quantités autorisés</t>
  </si>
  <si>
    <t>Facture</t>
  </si>
  <si>
    <t>Nom</t>
  </si>
  <si>
    <t>Prenom</t>
  </si>
  <si>
    <t>Rue</t>
  </si>
  <si>
    <t>Ville</t>
  </si>
  <si>
    <t>Code Postale</t>
  </si>
  <si>
    <t>Mail</t>
  </si>
  <si>
    <t>Telephone</t>
  </si>
  <si>
    <t>Billet</t>
  </si>
  <si>
    <t>Type</t>
  </si>
  <si>
    <t>Qtt</t>
  </si>
  <si>
    <t>Prix à payer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</si>
  <si>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</si>
  <si>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</si>
  <si>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</si>
  <si>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</si>
  <si>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</si>
  <si>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</si>
  <si>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</si>
  <si>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</si>
  <si>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</si>
  <si>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</si>
  <si>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cp</t>
  </si>
  <si>
    <t>10000</t>
  </si>
  <si>
    <t>Fermer</t>
  </si>
  <si>
    <t>hébergement</t>
  </si>
  <si>
    <t>@</t>
  </si>
  <si>
    <t>300€</t>
  </si>
  <si>
    <t>jus</t>
  </si>
  <si>
    <t>fruit</t>
  </si>
  <si>
    <t>troyes</t>
  </si>
  <si>
    <t>02321456</t>
  </si>
  <si>
    <t>programme</t>
  </si>
  <si>
    <t>Pass 2 SD</t>
  </si>
  <si>
    <t>Pass 3</t>
  </si>
  <si>
    <t>Pass 2 VS</t>
  </si>
  <si>
    <t>Pass 2 VS VIP</t>
  </si>
  <si>
    <t>Pass 2 SD VIP</t>
  </si>
  <si>
    <t>Pass 3 VIP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</si>
  <si>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</si>
  <si>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</si>
  <si>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</si>
  <si>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</si>
  <si>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</si>
  <si>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</si>
  <si>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</si>
  <si>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</si>
  <si>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</si>
  <si>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</si>
  <si>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>vendredi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</si>
  <si>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</si>
  <si>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</si>
  <si>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</si>
  <si>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</si>
  <si>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</si>
  <si>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</si>
  <si>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</si>
  <si>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</si>
  <si>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</si>
  <si>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</si>
  <si>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</si>
  <si>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</si>
  <si>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samedi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</si>
  <si>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</si>
  <si>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</si>
  <si>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</si>
  <si>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</si>
  <si>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</si>
  <si>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</si>
  <si>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</si>
  <si>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</si>
  <si>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</si>
  <si>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</si>
  <si>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</si>
  <si>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</si>
  <si>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dimanche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</si>
  <si>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</si>
  <si>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</si>
  <si>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</si>
  <si>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</si>
  <si>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</si>
  <si>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</si>
  <si>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</si>
  <si>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</si>
  <si>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</si>
  <si>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</si>
  <si>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</si>
  <si>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</si>
  <si>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</si>
  <si>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</si>
  <si>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</si>
  <si>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</si>
  <si>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</si>
  <si>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</si>
  <si>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</si>
  <si>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</si>
  <si>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</si>
  <si>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</si>
  <si>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Accompagnant</t>
  </si>
  <si>
    <t>Matériel</t>
  </si>
  <si>
    <t>Frais annexe</t>
  </si>
  <si>
    <t>Total</t>
  </si>
  <si>
    <t>Prestation</t>
  </si>
  <si>
    <t>Frais engagé</t>
  </si>
  <si>
    <t>Nb Benevole</t>
  </si>
  <si>
    <t>3</t>
  </si>
  <si>
    <t>3000</t>
  </si>
  <si>
    <t>nb accompagnant</t>
  </si>
  <si>
    <t>Horraire</t>
  </si>
  <si>
    <t>5</t>
  </si>
  <si>
    <t>15000</t>
  </si>
  <si>
    <t>2000</t>
  </si>
  <si>
    <t>Repas</t>
  </si>
  <si>
    <t>2</t>
  </si>
  <si>
    <t>envoyer par mail</t>
  </si>
  <si>
    <t>fermer</t>
  </si>
  <si>
    <t>modifier</t>
  </si>
  <si>
    <t>6</t>
  </si>
  <si>
    <t>6000</t>
  </si>
  <si>
    <t>1000</t>
  </si>
  <si>
    <t>500</t>
  </si>
  <si>
    <t>Micro</t>
  </si>
  <si>
    <t>1</t>
  </si>
  <si>
    <t>Salle de repos</t>
  </si>
  <si>
    <t>equipe back</t>
  </si>
  <si>
    <t>Planning</t>
  </si>
  <si>
    <t>Total Artiste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</si>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</sst>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#,##0.00\ &quot;€&quot;"/>
    <numFmt numFmtId="165" formatCode="_-* #,##0.00\ [$€-40C]_-;\-* #,##0.00\ [$€-40C]_-;_-* &quot;-&quot;??\ [$€-40C]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5" borderId="2" xfId="0" applyFill="1" applyBorder="1"/>
    <xf numFmtId="0" fontId="0" fillId="5" borderId="1" xfId="0" applyFill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44" fontId="0" fillId="0" borderId="11" xfId="1" applyFont="1" applyBorder="1"/>
    <xf numFmtId="44" fontId="0" fillId="0" borderId="12" xfId="1" applyFont="1" applyBorder="1"/>
    <xf numFmtId="44" fontId="0" fillId="0" borderId="14" xfId="1" applyFont="1" applyBorder="1"/>
    <xf numFmtId="0" fontId="0" fillId="0" borderId="15" xfId="0" applyBorder="1"/>
    <xf numFmtId="0" fontId="0" fillId="0" borderId="16" xfId="0" applyBorder="1"/>
    <xf numFmtId="44" fontId="0" fillId="0" borderId="16" xfId="1" applyFont="1" applyBorder="1"/>
    <xf numFmtId="44" fontId="0" fillId="0" borderId="9" xfId="1" applyFont="1" applyBorder="1"/>
    <xf numFmtId="44" fontId="0" fillId="0" borderId="0" xfId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44" fontId="0" fillId="0" borderId="26" xfId="1" applyFont="1" applyBorder="1"/>
    <xf numFmtId="44" fontId="0" fillId="0" borderId="24" xfId="1" applyFont="1" applyBorder="1"/>
    <xf numFmtId="44" fontId="0" fillId="0" borderId="23" xfId="1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18" xfId="0" applyBorder="1" applyAlignment="1"/>
    <xf numFmtId="0" fontId="0" fillId="0" borderId="2" xfId="0" applyBorder="1"/>
    <xf numFmtId="0" fontId="0" fillId="0" borderId="31" xfId="0" applyBorder="1"/>
    <xf numFmtId="0" fontId="0" fillId="0" borderId="1" xfId="0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5" fontId="0" fillId="4" borderId="1" xfId="0" applyNumberFormat="1" applyFill="1" applyBorder="1"/>
    <xf numFmtId="44" fontId="0" fillId="4" borderId="1" xfId="0" applyNumberFormat="1" applyFill="1" applyBorder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47625</xdr:rowOff>
        </xdr:from>
        <xdr:to>
          <xdr:col>3</xdr:col>
          <xdr:colOff>19050</xdr:colOff>
          <xdr:row>4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Faire une réservation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19050</xdr:rowOff>
        </xdr:from>
        <xdr:to>
          <xdr:col>2</xdr:col>
          <xdr:colOff>781050</xdr:colOff>
          <xdr:row>10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Compte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</xdr:rowOff>
        </xdr:from>
        <xdr:to>
          <xdr:col>5</xdr:col>
          <xdr:colOff>781050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Organisateur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12</xdr:row>
          <xdr:rowOff>171450</xdr:rowOff>
        </xdr:from>
        <xdr:to>
          <xdr:col>1</xdr:col>
          <xdr:colOff>628650</xdr:colOff>
          <xdr:row>15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par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19050</xdr:rowOff>
        </xdr:from>
        <xdr:to>
          <xdr:col>4</xdr:col>
          <xdr:colOff>514350</xdr:colOff>
          <xdr:row>15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la facture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/>
  <dimension ref="D4:E17"/>
  <sheetViews>
    <sheetView tabSelected="1" workbookViewId="0">
      <selection activeCell="F18" sqref="F18"/>
    </sheetView>
  </sheetViews>
  <sheetFormatPr baseColWidth="10" defaultRowHeight="15" x14ac:dyDescent="0.25"/>
  <sheetData>
    <row r="4" spans="5:5" x14ac:dyDescent="0.25">
      <c r="E4" t="s">
        <v>58</v>
      </c>
    </row>
    <row r="17" spans="4:4" x14ac:dyDescent="0.25">
      <c r="D17" t="s">
        <v>50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reservation">
                <anchor moveWithCells="1" sizeWithCells="1">
                  <from>
                    <xdr:col>1</xdr:col>
                    <xdr:colOff>9525</xdr:colOff>
                    <xdr:row>2</xdr:row>
                    <xdr:rowOff>47625</xdr:rowOff>
                  </from>
                  <to>
                    <xdr:col>3</xdr:col>
                    <xdr:colOff>19050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fficher_facture">
                <anchor moveWithCells="1" siz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2</xdr:col>
                    <xdr:colOff>781050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fficher_organisateur">
                <anchor moveWithCells="1" sizeWithCells="1">
                  <from>
                    <xdr:col>4</xdr:col>
                    <xdr:colOff>9525</xdr:colOff>
                    <xdr:row>8</xdr:row>
                    <xdr:rowOff>19050</xdr:rowOff>
                  </from>
                  <to>
                    <xdr:col>5</xdr:col>
                    <xdr:colOff>781050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1202-A52F-49DC-89A2-6CB1095850C4}">
  <sheetPr codeName="Feuil3"/>
  <dimension ref="A2:E21"/>
  <sheetViews>
    <sheetView workbookViewId="0">
      <selection activeCell="C31" sqref="C31"/>
    </sheetView>
  </sheetViews>
  <sheetFormatPr baseColWidth="10" defaultRowHeight="15" x14ac:dyDescent="0.25"/>
  <sheetData>
    <row r="2" spans="1:5" x14ac:dyDescent="0.25">
      <c r="A2" s="47" t="s">
        <v>26</v>
      </c>
      <c r="B2" s="47"/>
      <c r="C2" s="47"/>
      <c r="D2" s="47"/>
      <c r="E2" s="47"/>
    </row>
    <row r="3" spans="1:5" x14ac:dyDescent="0.25">
      <c r="A3" s="8" t="s">
        <v>27</v>
      </c>
      <c r="B3" s="44" t="s">
        <v>153</v>
      </c>
      <c r="C3" s="44"/>
      <c r="D3" s="44"/>
      <c r="E3" s="44"/>
    </row>
    <row r="4" spans="1:5" x14ac:dyDescent="0.25">
      <c r="A4" s="9" t="s">
        <v>28</v>
      </c>
      <c r="B4" s="44" t="s">
        <v>153</v>
      </c>
      <c r="C4" s="44"/>
      <c r="D4" s="44"/>
      <c r="E4" s="44"/>
    </row>
    <row r="5" spans="1:5" x14ac:dyDescent="0.25">
      <c r="A5" s="9" t="s">
        <v>29</v>
      </c>
      <c r="B5" s="44" t="s">
        <v>153</v>
      </c>
      <c r="C5" s="44"/>
      <c r="D5" s="44"/>
      <c r="E5" s="44"/>
    </row>
    <row r="6" spans="1:5" x14ac:dyDescent="0.25">
      <c r="A6" s="9" t="s">
        <v>30</v>
      </c>
      <c r="B6" s="44" t="s">
        <v>153</v>
      </c>
      <c r="C6" s="44"/>
      <c r="D6" s="44"/>
      <c r="E6" s="44"/>
    </row>
    <row r="7" spans="1:5" x14ac:dyDescent="0.25">
      <c r="A7" s="9" t="s">
        <v>31</v>
      </c>
      <c r="B7" s="44" t="s">
        <v>153</v>
      </c>
      <c r="C7" s="44"/>
      <c r="D7" s="44"/>
      <c r="E7" s="44"/>
    </row>
    <row r="8" spans="1:5" x14ac:dyDescent="0.25">
      <c r="A8" s="9" t="s">
        <v>33</v>
      </c>
      <c r="B8" s="44" t="s">
        <v>153</v>
      </c>
      <c r="C8" s="44"/>
      <c r="D8" s="44"/>
      <c r="E8" s="44"/>
    </row>
    <row r="9" spans="1:5" x14ac:dyDescent="0.25">
      <c r="A9" s="9" t="s">
        <v>32</v>
      </c>
      <c r="B9" s="44" t="s">
        <v>153</v>
      </c>
      <c r="C9" s="44"/>
      <c r="D9" s="44"/>
      <c r="E9" s="44"/>
    </row>
    <row r="10" spans="1:5" x14ac:dyDescent="0.25">
      <c r="A10" s="45" t="s">
        <v>34</v>
      </c>
      <c r="B10" s="7" t="s">
        <v>35</v>
      </c>
      <c r="C10" s="7" t="s">
        <v>1</v>
      </c>
      <c r="D10" s="7" t="s">
        <v>36</v>
      </c>
      <c r="E10" s="7" t="s">
        <v>37</v>
      </c>
    </row>
    <row r="11" spans="1:5" x14ac:dyDescent="0.25">
      <c r="A11" s="46"/>
      <c r="B11" s="6" t="s">
        <v>64</v>
      </c>
      <c r="C11" s="59">
        <v>300</v>
      </c>
      <c r="D11" s="6">
        <v>2</v>
      </c>
      <c r="E11" s="58">
        <f>C11*D11</f>
        <v>600</v>
      </c>
    </row>
    <row r="21" spans="2:3" x14ac:dyDescent="0.25">
      <c r="B21" t="s">
        <v>50</v>
      </c>
      <c r="C21" t="s">
        <v>51</v>
      </c>
    </row>
  </sheetData>
  <mergeCells count="9">
    <mergeCell ref="B8:E8"/>
    <mergeCell ref="B9:E9"/>
    <mergeCell ref="A10:A11"/>
    <mergeCell ref="A2:E2"/>
    <mergeCell ref="B3:E3"/>
    <mergeCell ref="B4:E4"/>
    <mergeCell ref="B5:E5"/>
    <mergeCell ref="B6:E6"/>
    <mergeCell ref="B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cture_Mail">
                <anchor moveWithCells="1" sizeWithCells="1">
                  <from>
                    <xdr:col>0</xdr:col>
                    <xdr:colOff>228600</xdr:colOff>
                    <xdr:row>12</xdr:row>
                    <xdr:rowOff>171450</xdr:rowOff>
                  </from>
                  <to>
                    <xdr:col>1</xdr:col>
                    <xdr:colOff>628650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rimer_facture">
                <anchor moveWithCells="1" sizeWithCells="1">
                  <from>
                    <xdr:col>3</xdr:col>
                    <xdr:colOff>19050</xdr:colOff>
                    <xdr:row>13</xdr:row>
                    <xdr:rowOff>19050</xdr:rowOff>
                  </from>
                  <to>
                    <xdr:col>4</xdr:col>
                    <xdr:colOff>514350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/>
  <dimension ref="A2:E17"/>
  <sheetViews>
    <sheetView workbookViewId="0">
      <selection activeCell="E20" sqref="E20"/>
    </sheetView>
  </sheetViews>
  <sheetFormatPr baseColWidth="10" defaultRowHeight="15" x14ac:dyDescent="0.25"/>
  <sheetData>
    <row r="2" spans="1:5" x14ac:dyDescent="0.25">
      <c r="A2" s="47" t="s">
        <v>26</v>
      </c>
      <c r="B2" s="47"/>
      <c r="C2" s="47"/>
      <c r="D2" s="47"/>
      <c r="E2" s="47"/>
    </row>
    <row r="3" spans="1:5" x14ac:dyDescent="0.25">
      <c r="A3" s="8" t="s">
        <v>123</v>
      </c>
      <c r="B3" s="44" t="s">
        <v>80</v>
      </c>
      <c r="C3" s="44"/>
      <c r="D3" s="44"/>
      <c r="E3" s="44"/>
    </row>
    <row r="4" spans="1:5" x14ac:dyDescent="0.25">
      <c r="A4" s="9" t="s">
        <v>111</v>
      </c>
      <c r="B4" s="44" t="s">
        <v>88</v>
      </c>
      <c r="C4" s="44"/>
      <c r="D4" s="44"/>
      <c r="E4" s="44"/>
    </row>
    <row r="5" spans="1:5" x14ac:dyDescent="0.25">
      <c r="A5" s="9" t="s">
        <v>124</v>
      </c>
      <c r="B5" s="44" t="s">
        <v>143</v>
      </c>
      <c r="C5" s="44"/>
      <c r="D5" s="44"/>
      <c r="E5" s="44"/>
    </row>
    <row r="6" spans="1:5" x14ac:dyDescent="0.25">
      <c r="A6" s="47"/>
      <c r="B6" s="47"/>
      <c r="C6" s="47"/>
      <c r="D6" s="47"/>
      <c r="E6" s="47"/>
    </row>
    <row r="7" spans="1:5" x14ac:dyDescent="0.25">
      <c r="A7" s="9" t="s">
        <v>1</v>
      </c>
      <c r="B7" s="44" t="s">
        <v>144</v>
      </c>
      <c r="C7" s="44"/>
      <c r="D7" s="44"/>
      <c r="E7" s="44"/>
    </row>
    <row r="8" spans="1:5" x14ac:dyDescent="0.25">
      <c r="A8" s="9" t="s">
        <v>125</v>
      </c>
      <c r="B8" s="44" t="s">
        <v>145</v>
      </c>
      <c r="C8" s="44"/>
      <c r="D8" s="44"/>
      <c r="E8" s="44"/>
    </row>
    <row r="9" spans="1:5" x14ac:dyDescent="0.25">
      <c r="A9" s="9" t="s">
        <v>126</v>
      </c>
      <c r="B9" s="44" t="s">
        <v>146</v>
      </c>
      <c r="C9" s="44"/>
      <c r="D9" s="44"/>
      <c r="E9" s="44"/>
    </row>
    <row r="10" spans="1:5" x14ac:dyDescent="0.25">
      <c r="A10" s="45" t="s">
        <v>127</v>
      </c>
      <c r="B10" s="48" t="s">
        <v>128</v>
      </c>
      <c r="C10" s="49"/>
      <c r="D10" s="48" t="s">
        <v>129</v>
      </c>
      <c r="E10" s="49"/>
    </row>
    <row r="11" spans="1:5" x14ac:dyDescent="0.25">
      <c r="A11" s="46"/>
      <c r="B11" s="48" t="e" cm="1">
        <f t="array" ref="B11">G</f>
        <v>#NAME?</v>
      </c>
      <c r="C11" s="49"/>
      <c r="D11" s="48"/>
      <c r="E11" s="49"/>
    </row>
    <row r="12" spans="1:5" x14ac:dyDescent="0.25">
      <c r="D12" t="e" cm="1">
        <f t="array" ref="D12">H+I</f>
        <v>#NAME?</v>
      </c>
    </row>
    <row r="17" spans="1:5" x14ac:dyDescent="0.25">
      <c r="A17" t="s">
        <v>140</v>
      </c>
      <c r="C17" t="s">
        <v>141</v>
      </c>
      <c r="E17" t="s">
        <v>142</v>
      </c>
    </row>
  </sheetData>
  <mergeCells count="13">
    <mergeCell ref="B8:E8"/>
    <mergeCell ref="B9:E9"/>
    <mergeCell ref="A10:A11"/>
    <mergeCell ref="A6:E6"/>
    <mergeCell ref="B10:C10"/>
    <mergeCell ref="D10:E10"/>
    <mergeCell ref="B11:C11"/>
    <mergeCell ref="D11:E11"/>
    <mergeCell ref="A2:E2"/>
    <mergeCell ref="B3:E3"/>
    <mergeCell ref="B4:E4"/>
    <mergeCell ref="B5:E5"/>
    <mergeCell ref="B7:E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/>
  <dimension ref="A1:P34"/>
  <sheetViews>
    <sheetView workbookViewId="0">
      <selection activeCell="M3" sqref="M3:M5"/>
    </sheetView>
  </sheetViews>
  <sheetFormatPr baseColWidth="10" defaultRowHeight="15" x14ac:dyDescent="0.25"/>
  <cols>
    <col min="7" max="7" width="12.7109375" bestFit="1" customWidth="1"/>
    <col min="14" max="14" width="21.42578125" bestFit="1" customWidth="1"/>
  </cols>
  <sheetData>
    <row r="1" spans="1:16" ht="15.75" thickBot="1" x14ac:dyDescent="0.3">
      <c r="P1" s="41"/>
    </row>
    <row r="2" spans="1:16" ht="15.75" thickBot="1" x14ac:dyDescent="0.3">
      <c r="A2" s="50" t="s">
        <v>58</v>
      </c>
      <c r="B2" s="51"/>
      <c r="C2" s="52"/>
      <c r="D2" s="53" t="s">
        <v>65</v>
      </c>
      <c r="E2" s="54"/>
      <c r="F2" s="55"/>
      <c r="G2" s="53" t="s">
        <v>66</v>
      </c>
      <c r="H2" s="54"/>
      <c r="I2" s="54"/>
      <c r="J2" s="56" t="s">
        <v>67</v>
      </c>
      <c r="K2" s="57"/>
      <c r="M2" s="27" t="s">
        <v>110</v>
      </c>
      <c r="N2" s="2" t="s">
        <v>123</v>
      </c>
      <c r="O2" s="28" t="s">
        <v>111</v>
      </c>
      <c r="P2" s="2" t="s">
        <v>134</v>
      </c>
    </row>
    <row r="3" spans="1:16" ht="15.75" thickBot="1" x14ac:dyDescent="0.3">
      <c r="A3" s="11" t="s">
        <v>68</v>
      </c>
      <c r="B3" s="11" t="s">
        <v>119</v>
      </c>
      <c r="C3" s="12" t="s">
        <v>69</v>
      </c>
      <c r="D3" s="11" t="s">
        <v>70</v>
      </c>
      <c r="E3" s="11" t="s">
        <v>133</v>
      </c>
      <c r="F3" s="11" t="s">
        <v>71</v>
      </c>
      <c r="G3" s="11" t="s">
        <v>120</v>
      </c>
      <c r="H3" s="11" t="s">
        <v>121</v>
      </c>
      <c r="I3" s="13" t="s">
        <v>122</v>
      </c>
      <c r="J3" s="10" t="s">
        <v>72</v>
      </c>
      <c r="K3" s="38" t="s">
        <v>130</v>
      </c>
      <c r="M3" s="27" t="s">
        <v>74</v>
      </c>
      <c r="N3" s="2" t="s">
        <v>73</v>
      </c>
      <c r="O3" s="29" t="s">
        <v>75</v>
      </c>
      <c r="P3" s="2" t="s">
        <v>112</v>
      </c>
    </row>
    <row r="4" spans="1:16" x14ac:dyDescent="0.25">
      <c r="A4" t="s">
        <v>73</v>
      </c>
      <c r="B4" s="14" t="s">
        <v>74</v>
      </c>
      <c r="C4" t="s">
        <v>75</v>
      </c>
      <c r="D4" s="14" t="s">
        <v>112</v>
      </c>
      <c r="E4" s="16" t="s">
        <v>131</v>
      </c>
      <c r="F4" s="17">
        <v>1</v>
      </c>
      <c r="G4" s="18">
        <v>3000</v>
      </c>
      <c r="H4" s="19">
        <v>800</v>
      </c>
      <c r="I4" s="20">
        <v>200</v>
      </c>
      <c r="J4" s="21"/>
      <c r="K4" s="39">
        <v>0</v>
      </c>
      <c r="M4" s="27" t="s">
        <v>79</v>
      </c>
      <c r="N4" s="2" t="s">
        <v>76</v>
      </c>
      <c r="O4" s="29" t="s">
        <v>88</v>
      </c>
      <c r="P4" s="2" t="s">
        <v>113</v>
      </c>
    </row>
    <row r="5" spans="1:16" x14ac:dyDescent="0.25">
      <c r="A5" t="s">
        <v>76</v>
      </c>
      <c r="B5" s="14" t="s">
        <v>79</v>
      </c>
      <c r="C5" t="s">
        <v>101</v>
      </c>
      <c r="D5" s="14" t="s">
        <v>113</v>
      </c>
      <c r="E5" s="14" t="s">
        <v>135</v>
      </c>
      <c r="F5" s="15">
        <v>2</v>
      </c>
      <c r="G5" s="23" t="s">
        <v>136</v>
      </c>
      <c r="H5" s="24" t="s">
        <v>137</v>
      </c>
      <c r="I5" s="25" t="s">
        <v>132</v>
      </c>
      <c r="J5" s="26" t="s">
        <v>138</v>
      </c>
      <c r="K5" s="39" t="s">
        <v>139</v>
      </c>
      <c r="M5" s="27" t="s">
        <v>84</v>
      </c>
      <c r="N5" s="2" t="s">
        <v>77</v>
      </c>
      <c r="O5" s="29" t="s">
        <v>101</v>
      </c>
      <c r="P5" s="2" t="s">
        <v>114</v>
      </c>
    </row>
    <row r="6" spans="1:16" x14ac:dyDescent="0.25">
      <c r="A6" t="s">
        <v>80</v>
      </c>
      <c r="B6" s="14" t="s">
        <v>84</v>
      </c>
      <c r="C6" t="s">
        <v>88</v>
      </c>
      <c r="D6" s="14" t="s">
        <v>114</v>
      </c>
      <c r="E6" s="14" t="s">
        <v>143</v>
      </c>
      <c r="F6" s="15">
        <v>2</v>
      </c>
      <c r="G6" s="23" t="s">
        <v>144</v>
      </c>
      <c r="H6" s="24" t="s">
        <v>145</v>
      </c>
      <c r="I6" s="25" t="s">
        <v>146</v>
      </c>
      <c r="J6" s="26" t="s">
        <v>147</v>
      </c>
      <c r="K6" s="39" t="s">
        <v>148</v>
      </c>
      <c r="N6" s="2" t="s">
        <v>78</v>
      </c>
      <c r="P6" s="2" t="s">
        <v>115</v>
      </c>
    </row>
    <row r="7" spans="1:16" x14ac:dyDescent="0.25">
      <c r="A7" t="s">
        <v>81</v>
      </c>
      <c r="B7" s="14" t="s">
        <v>74</v>
      </c>
      <c r="C7" t="s">
        <v>75</v>
      </c>
      <c r="D7" s="14" t="s">
        <v>115</v>
      </c>
      <c r="E7" s="14">
        <v>1</v>
      </c>
      <c r="F7" s="15">
        <v>2</v>
      </c>
      <c r="G7" s="23">
        <v>10000</v>
      </c>
      <c r="H7" s="24">
        <v>2000</v>
      </c>
      <c r="I7" s="25">
        <v>400</v>
      </c>
      <c r="J7" s="26"/>
      <c r="K7" s="39">
        <v>2</v>
      </c>
      <c r="N7" s="2" t="s">
        <v>80</v>
      </c>
      <c r="P7" s="2" t="s">
        <v>116</v>
      </c>
    </row>
    <row r="8" spans="1:16" x14ac:dyDescent="0.25">
      <c r="A8" t="s">
        <v>82</v>
      </c>
      <c r="B8" s="14" t="s">
        <v>79</v>
      </c>
      <c r="C8" t="s">
        <v>88</v>
      </c>
      <c r="D8" s="14" t="s">
        <v>116</v>
      </c>
      <c r="E8" s="14">
        <v>2</v>
      </c>
      <c r="F8" s="15">
        <v>2</v>
      </c>
      <c r="G8" s="23">
        <v>9400</v>
      </c>
      <c r="H8" s="24">
        <v>4000</v>
      </c>
      <c r="I8" s="25">
        <v>550</v>
      </c>
      <c r="J8" s="26" t="s">
        <v>149</v>
      </c>
      <c r="K8" s="39">
        <v>0</v>
      </c>
      <c r="N8" s="2" t="s">
        <v>81</v>
      </c>
      <c r="P8" s="2" t="s">
        <v>117</v>
      </c>
    </row>
    <row r="9" spans="1:16" x14ac:dyDescent="0.25">
      <c r="A9" t="s">
        <v>83</v>
      </c>
      <c r="B9" s="14" t="s">
        <v>84</v>
      </c>
      <c r="C9" t="s">
        <v>101</v>
      </c>
      <c r="D9" s="14" t="s">
        <v>117</v>
      </c>
      <c r="E9" s="14">
        <v>3</v>
      </c>
      <c r="F9" s="15">
        <v>1</v>
      </c>
      <c r="G9" s="23">
        <v>6000</v>
      </c>
      <c r="H9" s="24">
        <v>2000</v>
      </c>
      <c r="I9" s="25">
        <v>1000</v>
      </c>
      <c r="J9" s="26" t="s">
        <v>150</v>
      </c>
      <c r="K9" s="39">
        <v>3</v>
      </c>
      <c r="N9" s="2" t="s">
        <v>82</v>
      </c>
    </row>
    <row r="10" spans="1:16" x14ac:dyDescent="0.25">
      <c r="A10" t="s">
        <v>85</v>
      </c>
      <c r="B10" s="14" t="s">
        <v>74</v>
      </c>
      <c r="C10" t="s">
        <v>75</v>
      </c>
      <c r="D10" s="14" t="s">
        <v>112</v>
      </c>
      <c r="E10" s="14">
        <v>1</v>
      </c>
      <c r="F10" s="15">
        <v>3</v>
      </c>
      <c r="G10" s="23">
        <v>12000</v>
      </c>
      <c r="H10" s="24">
        <v>3500</v>
      </c>
      <c r="I10" s="25">
        <v>300</v>
      </c>
      <c r="J10" s="26"/>
      <c r="K10" s="39">
        <v>1</v>
      </c>
      <c r="N10" s="2" t="s">
        <v>83</v>
      </c>
    </row>
    <row r="11" spans="1:16" x14ac:dyDescent="0.25">
      <c r="A11" t="s">
        <v>86</v>
      </c>
      <c r="B11" s="14" t="s">
        <v>79</v>
      </c>
      <c r="C11" t="s">
        <v>88</v>
      </c>
      <c r="D11" s="14" t="s">
        <v>113</v>
      </c>
      <c r="E11" s="14">
        <v>2</v>
      </c>
      <c r="F11" s="15">
        <v>2</v>
      </c>
      <c r="G11" s="23">
        <v>7500</v>
      </c>
      <c r="H11" s="24">
        <v>4500</v>
      </c>
      <c r="I11" s="25">
        <v>900</v>
      </c>
      <c r="J11" s="26"/>
      <c r="K11" s="39">
        <v>0</v>
      </c>
      <c r="N11" s="2" t="s">
        <v>85</v>
      </c>
    </row>
    <row r="12" spans="1:16" x14ac:dyDescent="0.25">
      <c r="A12" t="s">
        <v>90</v>
      </c>
      <c r="B12" s="14" t="s">
        <v>84</v>
      </c>
      <c r="C12" t="s">
        <v>101</v>
      </c>
      <c r="D12" s="14" t="s">
        <v>114</v>
      </c>
      <c r="E12" s="14">
        <v>5</v>
      </c>
      <c r="F12" s="15">
        <v>3</v>
      </c>
      <c r="G12" s="23">
        <v>20000</v>
      </c>
      <c r="H12" s="24">
        <v>10000</v>
      </c>
      <c r="I12" s="25">
        <v>610</v>
      </c>
      <c r="J12" s="26"/>
      <c r="K12" s="39">
        <v>7</v>
      </c>
      <c r="N12" s="2" t="s">
        <v>86</v>
      </c>
    </row>
    <row r="13" spans="1:16" x14ac:dyDescent="0.25">
      <c r="A13" t="s">
        <v>97</v>
      </c>
      <c r="B13" s="14" t="s">
        <v>74</v>
      </c>
      <c r="C13" t="s">
        <v>75</v>
      </c>
      <c r="D13" s="14" t="s">
        <v>115</v>
      </c>
      <c r="E13" s="14">
        <v>8</v>
      </c>
      <c r="F13" s="15">
        <v>1</v>
      </c>
      <c r="G13" s="23">
        <v>2000</v>
      </c>
      <c r="H13" s="24">
        <v>100</v>
      </c>
      <c r="I13" s="25">
        <v>50</v>
      </c>
      <c r="J13" s="26"/>
      <c r="K13" s="39">
        <v>0</v>
      </c>
      <c r="N13" s="2" t="s">
        <v>87</v>
      </c>
    </row>
    <row r="14" spans="1:16" x14ac:dyDescent="0.25">
      <c r="A14" t="s">
        <v>98</v>
      </c>
      <c r="B14" s="14" t="s">
        <v>79</v>
      </c>
      <c r="C14" t="s">
        <v>88</v>
      </c>
      <c r="D14" s="14" t="s">
        <v>116</v>
      </c>
      <c r="E14" s="14">
        <v>1</v>
      </c>
      <c r="F14" s="15">
        <v>1</v>
      </c>
      <c r="G14" s="23">
        <v>10000</v>
      </c>
      <c r="H14" s="24">
        <v>2300</v>
      </c>
      <c r="I14" s="25">
        <v>1000</v>
      </c>
      <c r="J14" s="26"/>
      <c r="K14" s="39">
        <v>1</v>
      </c>
      <c r="N14" s="2" t="s">
        <v>89</v>
      </c>
    </row>
    <row r="15" spans="1:16" x14ac:dyDescent="0.25">
      <c r="A15" t="s">
        <v>99</v>
      </c>
      <c r="B15" s="14" t="s">
        <v>84</v>
      </c>
      <c r="C15" t="s">
        <v>101</v>
      </c>
      <c r="D15" s="14" t="s">
        <v>117</v>
      </c>
      <c r="E15" s="14">
        <v>3</v>
      </c>
      <c r="F15" s="15">
        <v>3</v>
      </c>
      <c r="G15" s="23">
        <v>15000</v>
      </c>
      <c r="H15" s="24">
        <v>6000</v>
      </c>
      <c r="I15" s="25">
        <v>2000</v>
      </c>
      <c r="J15" s="26"/>
      <c r="K15" s="39">
        <v>2</v>
      </c>
      <c r="N15" s="2" t="s">
        <v>90</v>
      </c>
    </row>
    <row r="16" spans="1:16" x14ac:dyDescent="0.25">
      <c r="B16" s="14"/>
      <c r="D16" s="14"/>
      <c r="E16" s="14"/>
      <c r="F16" s="15"/>
      <c r="G16" s="23"/>
      <c r="H16" s="24"/>
      <c r="I16" s="25"/>
      <c r="J16" s="26"/>
      <c r="K16" s="39"/>
      <c r="N16" s="2" t="s">
        <v>91</v>
      </c>
    </row>
    <row r="17" spans="2:14" x14ac:dyDescent="0.25">
      <c r="B17" s="14"/>
      <c r="D17" s="14"/>
      <c r="E17" s="14"/>
      <c r="F17" s="15"/>
      <c r="G17" s="23"/>
      <c r="H17" s="24"/>
      <c r="I17" s="25"/>
      <c r="J17" s="26"/>
      <c r="K17" s="39"/>
      <c r="N17" s="2" t="s">
        <v>92</v>
      </c>
    </row>
    <row r="18" spans="2:14" x14ac:dyDescent="0.25">
      <c r="B18" s="14"/>
      <c r="C18" s="15"/>
      <c r="D18" s="22"/>
      <c r="E18" s="14"/>
      <c r="F18" s="15"/>
      <c r="G18" s="23"/>
      <c r="H18" s="24"/>
      <c r="I18" s="25"/>
      <c r="J18" s="26"/>
      <c r="K18" s="39"/>
      <c r="N18" s="2" t="s">
        <v>93</v>
      </c>
    </row>
    <row r="19" spans="2:14" x14ac:dyDescent="0.25">
      <c r="B19" s="14"/>
      <c r="C19" s="15"/>
      <c r="D19" s="22"/>
      <c r="E19" s="14"/>
      <c r="F19" s="15"/>
      <c r="G19" s="23"/>
      <c r="H19" s="24"/>
      <c r="I19" s="25"/>
      <c r="J19" s="26"/>
      <c r="K19" s="39"/>
      <c r="N19" s="2" t="s">
        <v>94</v>
      </c>
    </row>
    <row r="20" spans="2:14" x14ac:dyDescent="0.25">
      <c r="B20" s="14"/>
      <c r="C20" s="15"/>
      <c r="D20" s="22"/>
      <c r="E20" s="14"/>
      <c r="F20" s="15"/>
      <c r="G20" s="23"/>
      <c r="H20" s="24"/>
      <c r="I20" s="25"/>
      <c r="J20" s="26"/>
      <c r="K20" s="39"/>
      <c r="N20" s="2" t="s">
        <v>95</v>
      </c>
    </row>
    <row r="21" spans="2:14" x14ac:dyDescent="0.25">
      <c r="B21" s="14"/>
      <c r="C21" s="15"/>
      <c r="D21" s="22"/>
      <c r="E21" s="14"/>
      <c r="F21" s="15"/>
      <c r="G21" s="23"/>
      <c r="H21" s="24"/>
      <c r="I21" s="25"/>
      <c r="J21" s="26"/>
      <c r="K21" s="39"/>
      <c r="N21" s="2" t="s">
        <v>96</v>
      </c>
    </row>
    <row r="22" spans="2:14" x14ac:dyDescent="0.25">
      <c r="B22" s="14"/>
      <c r="C22" s="15"/>
      <c r="D22" s="22"/>
      <c r="E22" s="14"/>
      <c r="F22" s="15"/>
      <c r="G22" s="23"/>
      <c r="H22" s="24"/>
      <c r="I22" s="25"/>
      <c r="J22" s="26"/>
      <c r="K22" s="39"/>
      <c r="N22" s="2" t="s">
        <v>97</v>
      </c>
    </row>
    <row r="23" spans="2:14" x14ac:dyDescent="0.25">
      <c r="B23" s="14"/>
      <c r="C23" s="15"/>
      <c r="D23" s="22"/>
      <c r="E23" s="14"/>
      <c r="F23" s="15"/>
      <c r="G23" s="23"/>
      <c r="H23" s="24"/>
      <c r="I23" s="25"/>
      <c r="J23" s="26"/>
      <c r="K23" s="39"/>
      <c r="N23" s="2" t="s">
        <v>98</v>
      </c>
    </row>
    <row r="24" spans="2:14" x14ac:dyDescent="0.25">
      <c r="B24" s="14"/>
      <c r="C24" s="15"/>
      <c r="D24" s="22"/>
      <c r="E24" s="14"/>
      <c r="F24" s="15"/>
      <c r="G24" s="23"/>
      <c r="H24" s="24"/>
      <c r="I24" s="25"/>
      <c r="J24" s="26"/>
      <c r="K24" s="39"/>
      <c r="N24" s="2" t="s">
        <v>99</v>
      </c>
    </row>
    <row r="25" spans="2:14" x14ac:dyDescent="0.25">
      <c r="B25" s="14"/>
      <c r="C25" s="15"/>
      <c r="D25" s="22"/>
      <c r="E25" s="14"/>
      <c r="F25" s="15"/>
      <c r="G25" s="23"/>
      <c r="H25" s="24"/>
      <c r="I25" s="25"/>
      <c r="J25" s="26"/>
      <c r="K25" s="39"/>
      <c r="N25" s="2" t="s">
        <v>100</v>
      </c>
    </row>
    <row r="26" spans="2:14" x14ac:dyDescent="0.25">
      <c r="B26" s="14"/>
      <c r="C26" s="15"/>
      <c r="D26" s="22"/>
      <c r="E26" s="14"/>
      <c r="F26" s="15"/>
      <c r="G26" s="23"/>
      <c r="H26" s="24"/>
      <c r="I26" s="25"/>
      <c r="J26" s="26"/>
      <c r="K26" s="39"/>
      <c r="N26" s="2" t="s">
        <v>102</v>
      </c>
    </row>
    <row r="27" spans="2:14" x14ac:dyDescent="0.25">
      <c r="B27" s="14"/>
      <c r="C27" s="15"/>
      <c r="D27" s="22"/>
      <c r="E27" s="14"/>
      <c r="F27" s="15"/>
      <c r="G27" s="23"/>
      <c r="H27" s="24"/>
      <c r="I27" s="25"/>
      <c r="J27" s="26"/>
      <c r="K27" s="39"/>
      <c r="N27" s="2" t="s">
        <v>103</v>
      </c>
    </row>
    <row r="28" spans="2:14" x14ac:dyDescent="0.25">
      <c r="B28" s="14"/>
      <c r="C28" s="15"/>
      <c r="D28" s="22"/>
      <c r="E28" s="14"/>
      <c r="F28" s="15"/>
      <c r="G28" s="23"/>
      <c r="H28" s="24"/>
      <c r="I28" s="25"/>
      <c r="J28" s="26"/>
      <c r="K28" s="39"/>
      <c r="N28" s="2" t="s">
        <v>104</v>
      </c>
    </row>
    <row r="29" spans="2:14" x14ac:dyDescent="0.25">
      <c r="B29" s="14"/>
      <c r="C29" s="15"/>
      <c r="D29" s="22"/>
      <c r="E29" s="14"/>
      <c r="F29" s="15"/>
      <c r="G29" s="23"/>
      <c r="H29" s="24"/>
      <c r="I29" s="25"/>
      <c r="J29" s="26"/>
      <c r="K29" s="39"/>
      <c r="N29" s="2" t="s">
        <v>105</v>
      </c>
    </row>
    <row r="30" spans="2:14" x14ac:dyDescent="0.25">
      <c r="B30" s="14"/>
      <c r="C30" s="15"/>
      <c r="D30" s="22"/>
      <c r="E30" s="14"/>
      <c r="F30" s="15"/>
      <c r="G30" s="23"/>
      <c r="H30" s="24"/>
      <c r="I30" s="25"/>
      <c r="J30" s="26"/>
      <c r="K30" s="39"/>
      <c r="N30" s="2" t="s">
        <v>106</v>
      </c>
    </row>
    <row r="31" spans="2:14" x14ac:dyDescent="0.25">
      <c r="B31" s="14"/>
      <c r="C31" s="15"/>
      <c r="D31" s="22"/>
      <c r="E31" s="14"/>
      <c r="F31" s="15"/>
      <c r="G31" s="23"/>
      <c r="H31" s="24"/>
      <c r="I31" s="25"/>
      <c r="J31" s="26"/>
      <c r="K31" s="39"/>
      <c r="N31" s="2" t="s">
        <v>107</v>
      </c>
    </row>
    <row r="32" spans="2:14" x14ac:dyDescent="0.25">
      <c r="B32" s="14"/>
      <c r="C32" s="15"/>
      <c r="D32" s="22"/>
      <c r="E32" s="14"/>
      <c r="F32" s="15"/>
      <c r="G32" s="23"/>
      <c r="H32" s="24"/>
      <c r="I32" s="25"/>
      <c r="J32" s="26"/>
      <c r="K32" s="39"/>
      <c r="N32" s="2" t="s">
        <v>108</v>
      </c>
    </row>
    <row r="33" spans="1:14" x14ac:dyDescent="0.25">
      <c r="B33" s="14"/>
      <c r="C33" s="15"/>
      <c r="D33" s="22"/>
      <c r="E33" s="14"/>
      <c r="F33" s="15"/>
      <c r="G33" s="23"/>
      <c r="H33" s="24"/>
      <c r="I33" s="25"/>
      <c r="J33" s="26"/>
      <c r="K33" s="39"/>
      <c r="N33" s="2" t="s">
        <v>109</v>
      </c>
    </row>
    <row r="34" spans="1:14" x14ac:dyDescent="0.25">
      <c r="A34" s="30"/>
      <c r="B34" s="31"/>
      <c r="C34" s="32"/>
      <c r="D34" s="33"/>
      <c r="E34" s="31"/>
      <c r="F34" s="32"/>
      <c r="G34" s="34"/>
      <c r="H34" s="35"/>
      <c r="I34" s="36"/>
      <c r="J34" s="37"/>
      <c r="K34" s="40"/>
    </row>
  </sheetData>
  <mergeCells count="4">
    <mergeCell ref="A2:C2"/>
    <mergeCell ref="D2:F2"/>
    <mergeCell ref="G2:I2"/>
    <mergeCell ref="J2:K2"/>
  </mergeCells>
  <conditionalFormatting sqref="F4:F3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{32E11F1A-A8B1-4085-87FE-AEE97DB45AC2}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E11F1A-A8B1-4085-87FE-AEE97DB45A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/>
  <dimension ref="A2:K3"/>
  <sheetViews>
    <sheetView workbookViewId="0">
      <selection activeCell="G13" sqref="G13"/>
    </sheetView>
  </sheetViews>
  <sheetFormatPr baseColWidth="10" defaultRowHeight="15" x14ac:dyDescent="0.25"/>
  <cols>
    <col min="8" max="8" width="23" bestFit="1" customWidth="1"/>
  </cols>
  <sheetData>
    <row r="2" spans="1:11" x14ac:dyDescent="0.25">
      <c r="A2" t="s">
        <v>38</v>
      </c>
      <c r="B2" t="s">
        <v>39</v>
      </c>
      <c r="C2" t="s">
        <v>40</v>
      </c>
      <c r="D2" t="s">
        <v>41</v>
      </c>
      <c r="E2" t="s">
        <v>48</v>
      </c>
      <c r="F2" t="s">
        <v>43</v>
      </c>
      <c r="G2" t="s">
        <v>42</v>
      </c>
      <c r="H2" t="s">
        <v>44</v>
      </c>
      <c r="I2" t="s">
        <v>45</v>
      </c>
      <c r="J2" t="s">
        <v>46</v>
      </c>
      <c r="K2" t="s">
        <v>47</v>
      </c>
    </row>
    <row r="3" spans="1:11" x14ac:dyDescent="0.25">
      <c r="A3" t="s">
        <v>54</v>
      </c>
      <c r="B3" t="s">
        <v>55</v>
      </c>
      <c r="D3" t="s">
        <v>56</v>
      </c>
      <c r="E3" t="s">
        <v>49</v>
      </c>
      <c r="F3" t="s">
        <v>57</v>
      </c>
      <c r="G3" t="s">
        <v>52</v>
      </c>
      <c r="H3" t="s">
        <v>20</v>
      </c>
      <c r="I3" t="s">
        <v>53</v>
      </c>
      <c r="J3">
        <v>1</v>
      </c>
      <c r="K3">
        <f>I3*J3</f>
        <v>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/>
  <dimension ref="A2:G20"/>
  <sheetViews>
    <sheetView workbookViewId="0">
      <selection activeCell="B3" sqref="B3"/>
    </sheetView>
  </sheetViews>
  <sheetFormatPr baseColWidth="10" defaultRowHeight="15" x14ac:dyDescent="0.25"/>
  <cols>
    <col min="1" max="1" width="23" bestFit="1" customWidth="1"/>
    <col min="4" max="4" width="18.42578125" bestFit="1" customWidth="1"/>
  </cols>
  <sheetData>
    <row r="2" spans="1:7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1:7" x14ac:dyDescent="0.25">
      <c r="A3" s="2" t="s">
        <v>6</v>
      </c>
      <c r="B3" s="3">
        <v>65</v>
      </c>
      <c r="C3" s="2">
        <v>100</v>
      </c>
      <c r="D3" s="2" t="s">
        <v>7</v>
      </c>
      <c r="E3" s="4"/>
      <c r="F3" s="2">
        <f t="shared" ref="F3:F14" si="0">C3-E3</f>
        <v>100</v>
      </c>
    </row>
    <row r="4" spans="1:7" x14ac:dyDescent="0.25">
      <c r="A4" s="2" t="s">
        <v>8</v>
      </c>
      <c r="B4" s="3">
        <v>65</v>
      </c>
      <c r="C4" s="2">
        <v>100</v>
      </c>
      <c r="D4" s="2" t="s">
        <v>9</v>
      </c>
      <c r="E4" s="4"/>
      <c r="F4" s="2">
        <f t="shared" si="0"/>
        <v>100</v>
      </c>
    </row>
    <row r="5" spans="1:7" x14ac:dyDescent="0.25">
      <c r="A5" s="2" t="s">
        <v>10</v>
      </c>
      <c r="B5" s="3">
        <v>65</v>
      </c>
      <c r="C5" s="2">
        <v>100</v>
      </c>
      <c r="D5" s="2" t="s">
        <v>11</v>
      </c>
      <c r="E5" s="4"/>
      <c r="F5" s="2">
        <f t="shared" si="0"/>
        <v>100</v>
      </c>
    </row>
    <row r="6" spans="1:7" x14ac:dyDescent="0.25">
      <c r="A6" s="2" t="s">
        <v>61</v>
      </c>
      <c r="B6" s="3">
        <v>151</v>
      </c>
      <c r="C6" s="2">
        <v>50</v>
      </c>
      <c r="D6" s="2" t="s">
        <v>12</v>
      </c>
      <c r="E6" s="4"/>
      <c r="F6" s="2">
        <f t="shared" si="0"/>
        <v>50</v>
      </c>
    </row>
    <row r="7" spans="1:7" x14ac:dyDescent="0.25">
      <c r="A7" s="2" t="s">
        <v>59</v>
      </c>
      <c r="B7" s="3">
        <v>151</v>
      </c>
      <c r="C7" s="2">
        <v>50</v>
      </c>
      <c r="D7" s="2" t="s">
        <v>13</v>
      </c>
      <c r="E7" s="4"/>
      <c r="F7" s="2">
        <f t="shared" si="0"/>
        <v>50</v>
      </c>
    </row>
    <row r="8" spans="1:7" x14ac:dyDescent="0.25">
      <c r="A8" s="2" t="s">
        <v>60</v>
      </c>
      <c r="B8" s="3">
        <v>181</v>
      </c>
      <c r="C8" s="2">
        <v>10</v>
      </c>
      <c r="D8" s="2" t="s">
        <v>14</v>
      </c>
      <c r="E8" s="4"/>
      <c r="F8" s="2">
        <f t="shared" si="0"/>
        <v>10</v>
      </c>
    </row>
    <row r="9" spans="1:7" x14ac:dyDescent="0.25">
      <c r="A9" s="2" t="s">
        <v>22</v>
      </c>
      <c r="B9" s="3">
        <v>100</v>
      </c>
      <c r="C9" s="2">
        <v>20</v>
      </c>
      <c r="D9" s="2" t="s">
        <v>15</v>
      </c>
      <c r="E9" s="4"/>
      <c r="F9" s="2">
        <f t="shared" si="0"/>
        <v>20</v>
      </c>
    </row>
    <row r="10" spans="1:7" x14ac:dyDescent="0.25">
      <c r="A10" s="2" t="s">
        <v>23</v>
      </c>
      <c r="B10" s="3">
        <v>100</v>
      </c>
      <c r="C10" s="2">
        <v>20</v>
      </c>
      <c r="D10" s="2" t="s">
        <v>16</v>
      </c>
      <c r="E10" s="4"/>
      <c r="F10" s="2">
        <f t="shared" si="0"/>
        <v>20</v>
      </c>
    </row>
    <row r="11" spans="1:7" x14ac:dyDescent="0.25">
      <c r="A11" s="2" t="s">
        <v>24</v>
      </c>
      <c r="B11" s="3">
        <v>100</v>
      </c>
      <c r="C11" s="2">
        <v>20</v>
      </c>
      <c r="D11" s="2" t="s">
        <v>17</v>
      </c>
      <c r="E11" s="4"/>
      <c r="F11" s="2">
        <f t="shared" si="0"/>
        <v>20</v>
      </c>
    </row>
    <row r="12" spans="1:7" x14ac:dyDescent="0.25">
      <c r="A12" s="2" t="s">
        <v>62</v>
      </c>
      <c r="B12" s="3">
        <v>250</v>
      </c>
      <c r="C12" s="2">
        <v>10</v>
      </c>
      <c r="D12" s="2" t="s">
        <v>18</v>
      </c>
      <c r="E12" s="4"/>
      <c r="F12" s="2">
        <f t="shared" si="0"/>
        <v>10</v>
      </c>
    </row>
    <row r="13" spans="1:7" x14ac:dyDescent="0.25">
      <c r="A13" s="2" t="s">
        <v>63</v>
      </c>
      <c r="B13" s="3">
        <v>250</v>
      </c>
      <c r="C13" s="2">
        <v>10</v>
      </c>
      <c r="D13" s="2" t="s">
        <v>19</v>
      </c>
      <c r="E13" s="4"/>
      <c r="F13" s="2">
        <f t="shared" si="0"/>
        <v>10</v>
      </c>
    </row>
    <row r="14" spans="1:7" x14ac:dyDescent="0.25">
      <c r="A14" s="2" t="s">
        <v>64</v>
      </c>
      <c r="B14" s="3">
        <v>300</v>
      </c>
      <c r="C14" s="2">
        <v>5</v>
      </c>
      <c r="D14" s="2" t="s">
        <v>21</v>
      </c>
      <c r="E14" s="4">
        <v>1</v>
      </c>
      <c r="F14" s="2">
        <f t="shared" si="0"/>
        <v>4</v>
      </c>
    </row>
    <row r="15" spans="1:7" x14ac:dyDescent="0.25">
      <c r="C15">
        <f>SUM(C3:C14)</f>
        <v>495</v>
      </c>
    </row>
    <row r="16" spans="1:7" ht="30" x14ac:dyDescent="0.25">
      <c r="G16" s="5" t="s">
        <v>25</v>
      </c>
    </row>
    <row r="17" spans="7:7" x14ac:dyDescent="0.25">
      <c r="G17" s="2">
        <v>1</v>
      </c>
    </row>
    <row r="18" spans="7:7" x14ac:dyDescent="0.25">
      <c r="G18" s="2">
        <v>2</v>
      </c>
    </row>
    <row r="19" spans="7:7" x14ac:dyDescent="0.25">
      <c r="G19" s="2">
        <v>3</v>
      </c>
    </row>
    <row r="20" spans="7:7" x14ac:dyDescent="0.25">
      <c r="G20" s="2">
        <v>4</v>
      </c>
    </row>
  </sheetData>
  <conditionalFormatting sqref="A2:B14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/>
  <dimension ref="A1:H26"/>
  <sheetViews>
    <sheetView workbookViewId="0">
      <selection activeCell="A9" sqref="A9"/>
    </sheetView>
  </sheetViews>
  <sheetFormatPr baseColWidth="10" defaultRowHeight="15" x14ac:dyDescent="0.25"/>
  <sheetData>
    <row r="1" spans="1:8" x14ac:dyDescent="0.25">
      <c r="G1" t="s">
        <v>152</v>
      </c>
    </row>
    <row r="2" spans="1:8" x14ac:dyDescent="0.25">
      <c r="A2" t="s">
        <v>151</v>
      </c>
      <c r="F2" t="s">
        <v>74</v>
      </c>
      <c r="G2" t="s">
        <v>79</v>
      </c>
      <c r="H2" t="s">
        <v>84</v>
      </c>
    </row>
    <row r="4" spans="1:8" x14ac:dyDescent="0.25">
      <c r="B4" t="s">
        <v>110</v>
      </c>
    </row>
    <row r="5" spans="1:8" x14ac:dyDescent="0.25">
      <c r="B5" t="s">
        <v>111</v>
      </c>
    </row>
    <row r="8" spans="1:8" x14ac:dyDescent="0.25">
      <c r="A8" s="2" t="s">
        <v>111</v>
      </c>
      <c r="B8" s="2" t="s">
        <v>118</v>
      </c>
      <c r="C8" s="2" t="s">
        <v>74</v>
      </c>
      <c r="D8" s="2" t="s">
        <v>79</v>
      </c>
      <c r="E8" s="2" t="s">
        <v>84</v>
      </c>
    </row>
    <row r="9" spans="1:8" x14ac:dyDescent="0.25">
      <c r="A9" s="43" t="s">
        <v>75</v>
      </c>
      <c r="B9" s="42" t="s">
        <v>112</v>
      </c>
    </row>
    <row r="10" spans="1:8" x14ac:dyDescent="0.25">
      <c r="A10" s="29" t="s">
        <v>75</v>
      </c>
      <c r="B10" s="2" t="s">
        <v>113</v>
      </c>
    </row>
    <row r="11" spans="1:8" x14ac:dyDescent="0.25">
      <c r="A11" t="s">
        <v>75</v>
      </c>
      <c r="B11" s="2" t="s">
        <v>114</v>
      </c>
    </row>
    <row r="12" spans="1:8" x14ac:dyDescent="0.25">
      <c r="A12" t="s">
        <v>75</v>
      </c>
      <c r="B12" s="2" t="s">
        <v>115</v>
      </c>
    </row>
    <row r="13" spans="1:8" x14ac:dyDescent="0.25">
      <c r="A13" s="29" t="s">
        <v>75</v>
      </c>
      <c r="B13" s="2" t="s">
        <v>116</v>
      </c>
    </row>
    <row r="14" spans="1:8" x14ac:dyDescent="0.25">
      <c r="A14" s="29" t="s">
        <v>75</v>
      </c>
      <c r="B14" s="2" t="s">
        <v>117</v>
      </c>
    </row>
    <row r="15" spans="1:8" x14ac:dyDescent="0.25">
      <c r="A15" s="29" t="s">
        <v>88</v>
      </c>
      <c r="B15" s="2" t="s">
        <v>112</v>
      </c>
    </row>
    <row r="16" spans="1:8" x14ac:dyDescent="0.25">
      <c r="A16" s="29" t="s">
        <v>88</v>
      </c>
      <c r="B16" s="2" t="s">
        <v>113</v>
      </c>
    </row>
    <row r="17" spans="1:2" x14ac:dyDescent="0.25">
      <c r="A17" s="29" t="s">
        <v>88</v>
      </c>
      <c r="B17" s="2" t="s">
        <v>114</v>
      </c>
    </row>
    <row r="18" spans="1:2" x14ac:dyDescent="0.25">
      <c r="A18" s="29" t="s">
        <v>88</v>
      </c>
      <c r="B18" s="2" t="s">
        <v>115</v>
      </c>
    </row>
    <row r="19" spans="1:2" x14ac:dyDescent="0.25">
      <c r="A19" s="29" t="s">
        <v>88</v>
      </c>
      <c r="B19" s="2" t="s">
        <v>116</v>
      </c>
    </row>
    <row r="20" spans="1:2" x14ac:dyDescent="0.25">
      <c r="A20" s="29" t="s">
        <v>88</v>
      </c>
      <c r="B20" s="2" t="s">
        <v>117</v>
      </c>
    </row>
    <row r="21" spans="1:2" x14ac:dyDescent="0.25">
      <c r="A21" s="29" t="s">
        <v>101</v>
      </c>
      <c r="B21" s="2" t="s">
        <v>112</v>
      </c>
    </row>
    <row r="22" spans="1:2" x14ac:dyDescent="0.25">
      <c r="A22" s="29" t="s">
        <v>101</v>
      </c>
      <c r="B22" s="2" t="s">
        <v>113</v>
      </c>
    </row>
    <row r="23" spans="1:2" x14ac:dyDescent="0.25">
      <c r="A23" s="29" t="s">
        <v>101</v>
      </c>
      <c r="B23" s="2" t="s">
        <v>114</v>
      </c>
    </row>
    <row r="24" spans="1:2" x14ac:dyDescent="0.25">
      <c r="A24" s="29" t="s">
        <v>101</v>
      </c>
      <c r="B24" s="2" t="s">
        <v>115</v>
      </c>
    </row>
    <row r="25" spans="1:2" x14ac:dyDescent="0.25">
      <c r="A25" s="29" t="s">
        <v>101</v>
      </c>
      <c r="B25" s="2" t="s">
        <v>116</v>
      </c>
    </row>
    <row r="26" spans="1:2" x14ac:dyDescent="0.25">
      <c r="A26" s="29" t="s">
        <v>101</v>
      </c>
      <c r="B26" s="2" t="s">
        <v>117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Menu</vt:lpstr>
      <vt:lpstr>Facture</vt:lpstr>
      <vt:lpstr>Facture musicien</vt:lpstr>
      <vt:lpstr>Gestion musiciens</vt:lpstr>
      <vt:lpstr>Historique Factures</vt:lpstr>
      <vt:lpstr>Billet</vt:lpstr>
      <vt:lpstr>Planning</vt:lpstr>
      <vt:lpstr>liste_jour_source</vt:lpstr>
      <vt:lpstr>liste_scene_source</vt:lpstr>
      <vt:lpstr>lste_horaire_source</vt:lpstr>
      <vt:lpstr>ref_artiste_source</vt:lpstr>
      <vt:lpstr>source_horaire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2020-01-20T17:27:49Z</cp:lastPrinted>
  <dcterms:created xsi:type="dcterms:W3CDTF">2020-01-17T16:23:10Z</dcterms:created>
  <dcterms:modified xsi:type="dcterms:W3CDTF">2020-01-20T17:48:55Z</dcterms:modified>
</cp:coreProperties>
</file>