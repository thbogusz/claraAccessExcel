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B11890A5-5348-4141-80DE-A08E00B2801C}" xr6:coauthVersionLast="44" xr6:coauthVersionMax="45" xr10:uidLastSave="{00000000-0000-0000-0000-000000000000}"/>
  <bookViews>
    <workbookView xWindow="-120" yWindow="-120" windowWidth="20730" windowHeight="11160" firstSheet="1" activeTab="2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Billet" sheetId="1" r:id="rId6"/>
    <sheet name="Hébergement" sheetId="11" r:id="rId7"/>
    <sheet name="Gestion Hébergement" sheetId="12" r:id="rId8"/>
    <sheet name="Planning" sheetId="8" r:id="rId9"/>
    <sheet name="Paramètres" sheetId="9" r:id="rId10"/>
    <sheet name="Carte" sheetId="10" r:id="rId11"/>
    <sheet name="Données Bénévole" sheetId="14" r:id="rId12"/>
    <sheet name="Gestion bénévole" sheetId="15" r:id="rId13"/>
    <sheet name="Affectation bénévole" sheetId="16" r:id="rId14"/>
  </sheets>
  <definedNames>
    <definedName name="_xlnm._FilterDatabase" localSheetId="6" hidden="1">Hébergement!$A$17:$E$17</definedName>
    <definedName name="_xlchart.v2.0" hidden="1">Billet!$A$5:$A$16</definedName>
    <definedName name="_xlchart.v2.1" hidden="1">Billet!$I$5:$I$16</definedName>
    <definedName name="CompteurFacture">'Facture Client'!$J$3</definedName>
    <definedName name="CompteurFactureMusicien">'Facture Musicien'!$K$2</definedName>
    <definedName name="liste_jour_source">Paramètres!$I$3:$I$5</definedName>
    <definedName name="liste_scene_source">Paramètres!$H$3:$H$5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Hébergement!$A$10:$A$14</definedName>
    <definedName name="source_horaire">'Gestion musiciens'!$Q$4:$X$4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9" i="4" l="1"/>
  <c r="N28" i="4" l="1"/>
  <c r="N27" i="4"/>
  <c r="N26" i="4"/>
  <c r="N25" i="4"/>
  <c r="N24" i="4"/>
  <c r="N23" i="4"/>
  <c r="N22" i="4"/>
  <c r="N21" i="4"/>
  <c r="N20" i="4"/>
  <c r="N19" i="4"/>
  <c r="N18" i="4"/>
  <c r="N16" i="4"/>
  <c r="N12" i="4"/>
  <c r="N14" i="4"/>
  <c r="N13" i="4"/>
  <c r="G25" i="13"/>
  <c r="G20" i="13"/>
  <c r="D27" i="13" l="1"/>
  <c r="D12" i="16"/>
  <c r="C12" i="16"/>
  <c r="B12" i="16"/>
  <c r="D6" i="16"/>
  <c r="C6" i="16"/>
  <c r="B6" i="16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A22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A17" i="15"/>
  <c r="Q11" i="15"/>
  <c r="Q10" i="15"/>
  <c r="Q9" i="15"/>
  <c r="A9" i="15"/>
  <c r="A10" i="15" s="1"/>
  <c r="A11" i="15" s="1"/>
  <c r="C13" i="11" l="1"/>
  <c r="E13" i="11" s="1"/>
  <c r="C12" i="11"/>
  <c r="C10" i="11"/>
  <c r="C11" i="11"/>
  <c r="I5" i="1" l="1"/>
  <c r="I6" i="1"/>
  <c r="I7" i="1"/>
  <c r="I8" i="1"/>
  <c r="I9" i="1"/>
  <c r="I10" i="1"/>
  <c r="I11" i="1"/>
  <c r="I12" i="1"/>
  <c r="I13" i="1"/>
  <c r="I14" i="1"/>
  <c r="I15" i="1"/>
  <c r="I16" i="1"/>
  <c r="E10" i="11"/>
  <c r="E18" i="11" s="1"/>
  <c r="F6" i="11"/>
  <c r="F7" i="11"/>
  <c r="F5" i="11"/>
  <c r="D20" i="7" a="1"/>
  <c r="D20" i="7"/>
  <c r="I17" i="1" l="1"/>
  <c r="C6" i="11"/>
  <c r="E6" i="11" s="1"/>
  <c r="C5" i="11"/>
  <c r="E5" i="11" s="1"/>
  <c r="E11" i="11"/>
  <c r="E19" i="11" s="1"/>
  <c r="C20" i="11" l="1"/>
  <c r="D20" i="11" s="1"/>
  <c r="C19" i="11"/>
  <c r="C18" i="11"/>
  <c r="D18" i="11" s="1"/>
  <c r="B19" i="11"/>
  <c r="B18" i="11"/>
  <c r="E12" i="11"/>
  <c r="E20" i="11" s="1"/>
  <c r="B13" i="11"/>
  <c r="C7" i="11" s="1"/>
  <c r="E7" i="11" s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H17" i="1" l="1"/>
  <c r="B14" i="11" s="1"/>
  <c r="D19" i="11"/>
  <c r="E14" i="11"/>
  <c r="D14" i="11"/>
  <c r="C17" i="1" l="1"/>
  <c r="N5" i="4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<sst xmlns="http://schemas.openxmlformats.org/spreadsheetml/2006/main" count="798" uniqueCount="358">
  <si>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</si>
  <si>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</si>
  <si>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</si>
  <si>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</si>
  <si>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</si>
  <si>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</si>
  <si>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</si>
  <si>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</si>
  <si>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</si>
  <si>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</si>
  <si>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</si>
  <si>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</si>
  <si>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</si>
  <si>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</si>
  <si>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</si>
  <si>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</si>
  <si>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</si>
  <si>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</si>
  <si>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</si>
  <si>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</si>
  <si>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</si>
  <si>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</si>
  <si>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</si>
  <si>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</si>
  <si>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</si>
  <si>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</si>
  <si>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</si>
  <si>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</si>
  <si>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</si>
  <si>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</si>
  <si>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</si>
  <si>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</si>
  <si>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</si>
  <si>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</si>
  <si>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</si>
  <si>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</si>
  <si>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</si>
  <si>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</si>
  <si>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</si>
  <si>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</si>
  <si>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</si>
  <si>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</si>
  <si>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</si>
  <si>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</si>
  <si>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</si>
  <si>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</si>
  <si>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</si>
  <si>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</si>
  <si>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</si>
  <si>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</si>
  <si>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</si>
  <si>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</si>
  <si>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</si>
  <si>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</si>
  <si>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</si>
  <si>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</si>
  <si>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</si>
  <si>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</si>
  <si>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</si>
  <si>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</si>
  <si>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</si>
  <si>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</si>
  <si>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</si>
  <si>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</si>
  <si>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</si>
  <si>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</si>
  <si>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</si>
  <si>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</si>
  <si>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</si>
  <si>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</si>
  <si>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</si>
  <si>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</si>
  <si>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</si>
  <si>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</si>
  <si>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</si>
  <si>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</si>
  <si>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</si>
  <si>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</si>
  <si>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</si>
  <si>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</si>
  <si>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</si>
  <si>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</si>
  <si>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</si>
  <si>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</si>
  <si>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</si>
  <si>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</si>
  <si>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</si>
  <si>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</si>
  <si>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</si>
  <si>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</si>
  <si>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</si>
  <si>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</si>
  <si>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</si>
  <si>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</si>
  <si>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</si>
  <si>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</si>
  <si>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</si>
  <si>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Benevole</t>
  </si>
  <si>
    <t>nb accompagnant</t>
  </si>
  <si>
    <t>Horraire</t>
  </si>
  <si>
    <t>2</t>
  </si>
  <si>
    <t>envoyer par mail</t>
  </si>
  <si>
    <t>fermer</t>
  </si>
  <si>
    <t>modifier</t>
  </si>
  <si>
    <t>1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</si>
  <si>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</si>
  <si>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</si>
  <si>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</si>
  <si>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</si>
  <si>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</si>
  <si>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</si>
  <si>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</si>
  <si>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</si>
  <si>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</si>
  <si>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</si>
  <si>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</si>
  <si>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</si>
  <si>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</si>
  <si>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</si>
  <si>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</si>
  <si>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</si>
  <si>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</si>
  <si>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</si>
  <si>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</si>
  <si>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</si>
  <si>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Total Hébergement</t>
  </si>
  <si>
    <t>Nb Disponible</t>
  </si>
  <si>
    <t>Réservé</t>
  </si>
  <si>
    <t>Coût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</si>
  <si>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</si>
  <si>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</si>
  <si>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</si>
  <si>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</si>
  <si>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</si>
  <si>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</si>
  <si>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</si>
  <si>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</si>
  <si>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</si>
  <si>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</si>
  <si>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</si>
  <si>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</si>
  <si>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</si>
  <si>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</si>
  <si>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</si>
  <si>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</si>
  <si>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</si>
  <si>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</si>
  <si>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</si>
  <si>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</si>
  <si>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</si>
  <si>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</si>
  <si>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</si>
  <si>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</si>
  <si>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</si>
  <si>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</si>
  <si>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</si>
  <si>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</si>
  <si>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</si>
  <si>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</si>
  <si>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</si>
  <si>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</si>
  <si>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</si>
  <si>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</si>
  <si>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</si>
  <si>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</si>
  <si>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</si>
  <si>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</si>
  <si>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</si>
  <si>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</si>
  <si>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</si>
  <si>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</si>
  <si>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</si>
  <si>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</si>
  <si>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</si>
  <si>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</si>
  <si>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</si>
  <si>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</si>
  <si>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</si>
  <si>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</si>
  <si>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</si>
  <si>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</si>
  <si>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</si>
  <si>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</si>
  <si>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</si>
  <si>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</si>
  <si>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</si>
  <si>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</si>
  <si>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</si>
  <si>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</si>
  <si>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</si>
  <si>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</si>
  <si>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</si>
  <si>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</si>
  <si>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</si>
  <si>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</si>
  <si>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</si>
  <si>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</si>
  <si>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</si>
  <si>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</si>
  <si>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</si>
  <si>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</si>
  <si>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</si>
  <si>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</si>
  <si>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</si>
  <si>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</si>
  <si>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</si>
  <si>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</si>
  <si>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</si>
  <si>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</si>
  <si>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</si>
  <si>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</si>
  <si>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</si>
  <si>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</si>
  <si>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</si>
  <si>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Libre A</t>
  </si>
  <si>
    <t>Libre B</t>
  </si>
  <si>
    <t>Cout total</t>
  </si>
  <si>
    <t>Répartition hébergement</t>
  </si>
  <si>
    <t>Coût total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</si>
  <si>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</si>
  <si>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</si>
  <si>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</si>
  <si>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</si>
  <si>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</si>
  <si>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</si>
  <si>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</si>
  <si>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</si>
  <si>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</si>
  <si>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</si>
  <si>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</si>
  <si>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</si>
  <si>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</si>
  <si>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</si>
  <si>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</si>
  <si>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</si>
  <si>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</si>
  <si>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</si>
  <si>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</si>
  <si>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</si>
  <si>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</si>
  <si>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</si>
  <si>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>Musicien</t>
  </si>
  <si>
    <t>Programmation</t>
  </si>
  <si>
    <t>Budget</t>
  </si>
  <si>
    <t>Frais offert</t>
  </si>
  <si>
    <t/>
  </si>
  <si>
    <t>Quantités autorisés billets</t>
  </si>
  <si>
    <t>Compteur Facture</t>
  </si>
  <si>
    <t>700</t>
  </si>
  <si>
    <t>VIP Room</t>
  </si>
  <si>
    <t>8</t>
  </si>
  <si>
    <t>4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</si>
  <si>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</si>
  <si>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</si>
  <si>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</si>
  <si>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</si>
  <si>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</si>
  <si>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</si>
  <si>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</si>
  <si>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</si>
  <si>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</si>
  <si>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</si>
  <si>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</si>
  <si>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</si>
  <si>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Christelle</t>
  </si>
  <si>
    <t>07 33 24 45 67</t>
  </si>
  <si>
    <t>Christe.90@hotmail.fr</t>
  </si>
  <si>
    <t>Mira</t>
  </si>
  <si>
    <t>06 89 09 07 45</t>
  </si>
  <si>
    <t>Mira133@homail.fr</t>
  </si>
  <si>
    <t>Jo</t>
  </si>
  <si>
    <t>07 06 16 34 57</t>
  </si>
  <si>
    <t>Victoria</t>
  </si>
  <si>
    <t>07 66 75 84 09</t>
  </si>
  <si>
    <t>Vic.M@live.fr</t>
  </si>
  <si>
    <t>Fred</t>
  </si>
  <si>
    <t>07 56 23 01 00</t>
  </si>
  <si>
    <t>fredi@gmail.com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</si>
  <si>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</si>
  <si>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</si>
  <si>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</si>
  <si>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</si>
  <si>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</si>
  <si>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</si>
  <si>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</si>
  <si>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</si>
  <si>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</si>
  <si>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</si>
  <si>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</si>
  <si>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</si>
  <si>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</si>
  <si>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</si>
  <si>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</si>
  <si>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</si>
  <si>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</si>
  <si>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</si>
  <si>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</si>
  <si>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</si>
  <si>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</si>
  <si>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 xml:space="preserve">Planning Bénévole </t>
  </si>
  <si>
    <t>Groupe 1</t>
  </si>
  <si>
    <t>Groupe 2</t>
  </si>
  <si>
    <t>Année</t>
  </si>
  <si>
    <t>Groupe 3</t>
  </si>
  <si>
    <t>Groupe 4</t>
  </si>
  <si>
    <t>Groupe 5</t>
  </si>
  <si>
    <t>Présent</t>
  </si>
  <si>
    <t>Absent</t>
  </si>
  <si>
    <t xml:space="preserve">Total de présence </t>
  </si>
  <si>
    <t>Bakary</t>
  </si>
  <si>
    <t>Gregoire</t>
  </si>
  <si>
    <t>Adeline</t>
  </si>
  <si>
    <t>Helena</t>
  </si>
  <si>
    <t xml:space="preserve">Total d'absence </t>
  </si>
  <si>
    <t xml:space="preserve">Affectation Bénévole </t>
  </si>
  <si>
    <t xml:space="preserve">Jours </t>
  </si>
  <si>
    <t>20:00 - 02:00</t>
  </si>
  <si>
    <t>Billeterie</t>
  </si>
  <si>
    <t>Buvette</t>
  </si>
  <si>
    <t>Stands</t>
  </si>
  <si>
    <t>Installation/rangement</t>
  </si>
  <si>
    <t>Total besoin bénévole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</si>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</sst>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€&quot;* #,##0.00_);_(&quot;€&quot;* \(#,##0.00\);_(&quot;€&quot;* &quot;-&quot;??_);_(@_)"/>
    <numFmt numFmtId="164" formatCode="#,##0.00\ &quot;€&quot;"/>
    <numFmt numFmtId="165" formatCode="_-* #,##0.00\ [$€-40C]_-;\-* #,##0.00\ [$€-40C]_-;_-* &quot;-&quot;??\ [$€-40C]_-;_-@_-"/>
    <numFmt numFmtId="166" formatCode="ddd\ dd\ mmmm"/>
    <numFmt numFmtId="167" formatCode="[$-F400]h:mm:ss\ AM/PM"/>
  </numFmts>
  <fonts count="17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6"/>
      <color theme="1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2"/>
      <color theme="9" tint="-0.499984740745262"/>
      <name val="Calibri (Corps)"/>
    </font>
    <font>
      <sz val="12"/>
      <color theme="5"/>
      <name val="Tw Cen MT"/>
      <family val="2"/>
      <scheme val="minor"/>
    </font>
    <font>
      <b/>
      <sz val="12"/>
      <color rgb="FFFF0000"/>
      <name val="Tw Cen MT"/>
      <family val="2"/>
      <scheme val="minor"/>
    </font>
    <font>
      <sz val="16"/>
      <color theme="1"/>
      <name val="Tw Cen MT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7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5" xfId="0" applyBorder="1"/>
    <xf numFmtId="0" fontId="0" fillId="0" borderId="18" xfId="0" applyBorder="1"/>
    <xf numFmtId="0" fontId="0" fillId="0" borderId="2" xfId="0" applyBorder="1"/>
    <xf numFmtId="0" fontId="0" fillId="3" borderId="1" xfId="0" applyFill="1" applyBorder="1"/>
    <xf numFmtId="165" fontId="0" fillId="0" borderId="1" xfId="0" applyNumberFormat="1" applyBorder="1"/>
    <xf numFmtId="0" fontId="0" fillId="4" borderId="15" xfId="0" applyFill="1" applyBorder="1" applyAlignment="1">
      <alignment horizontal="left"/>
    </xf>
    <xf numFmtId="0" fontId="0" fillId="4" borderId="22" xfId="0" applyFill="1" applyBorder="1" applyAlignment="1">
      <alignment horizontal="left"/>
    </xf>
    <xf numFmtId="0" fontId="0" fillId="4" borderId="13" xfId="0" applyFill="1" applyBorder="1" applyAlignment="1">
      <alignment horizontal="right"/>
    </xf>
    <xf numFmtId="0" fontId="0" fillId="4" borderId="21" xfId="0" applyFill="1" applyBorder="1" applyAlignment="1">
      <alignment horizontal="right"/>
    </xf>
    <xf numFmtId="0" fontId="0" fillId="5" borderId="21" xfId="0" applyFill="1" applyBorder="1" applyAlignment="1">
      <alignment horizontal="right"/>
    </xf>
    <xf numFmtId="0" fontId="0" fillId="5" borderId="15" xfId="0" applyFill="1" applyBorder="1" applyAlignment="1">
      <alignment horizontal="left"/>
    </xf>
    <xf numFmtId="0" fontId="0" fillId="5" borderId="13" xfId="0" applyFill="1" applyBorder="1" applyAlignment="1">
      <alignment horizontal="right"/>
    </xf>
    <xf numFmtId="0" fontId="0" fillId="5" borderId="22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23" xfId="0" applyBorder="1"/>
    <xf numFmtId="0" fontId="0" fillId="0" borderId="24" xfId="0" applyBorder="1"/>
    <xf numFmtId="0" fontId="0" fillId="0" borderId="11" xfId="0" applyBorder="1"/>
    <xf numFmtId="0" fontId="0" fillId="0" borderId="0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22" xfId="0" applyBorder="1"/>
    <xf numFmtId="0" fontId="0" fillId="0" borderId="3" xfId="0" applyBorder="1"/>
    <xf numFmtId="0" fontId="0" fillId="0" borderId="20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13" xfId="0" applyBorder="1" applyAlignment="1">
      <alignment horizontal="centerContinuous"/>
    </xf>
    <xf numFmtId="0" fontId="0" fillId="0" borderId="14" xfId="0" applyBorder="1" applyAlignment="1">
      <alignment horizontal="centerContinuous"/>
    </xf>
    <xf numFmtId="0" fontId="0" fillId="0" borderId="15" xfId="0" applyBorder="1" applyAlignment="1">
      <alignment horizontal="centerContinuous"/>
    </xf>
    <xf numFmtId="0" fontId="0" fillId="0" borderId="1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5" borderId="33" xfId="0" applyFill="1" applyBorder="1"/>
    <xf numFmtId="0" fontId="0" fillId="6" borderId="3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34" xfId="0" applyBorder="1"/>
    <xf numFmtId="0" fontId="5" fillId="3" borderId="0" xfId="0" applyFont="1" applyFill="1" applyBorder="1" applyAlignment="1">
      <alignment horizontal="centerContinuous"/>
    </xf>
    <xf numFmtId="0" fontId="0" fillId="3" borderId="18" xfId="0" applyFill="1" applyBorder="1"/>
    <xf numFmtId="0" fontId="0" fillId="3" borderId="18" xfId="0" applyFill="1" applyBorder="1" applyAlignment="1"/>
    <xf numFmtId="0" fontId="0" fillId="0" borderId="35" xfId="0" applyBorder="1"/>
    <xf numFmtId="0" fontId="0" fillId="3" borderId="36" xfId="0" applyFill="1" applyBorder="1"/>
    <xf numFmtId="0" fontId="0" fillId="0" borderId="36" xfId="0" applyBorder="1"/>
    <xf numFmtId="0" fontId="7" fillId="0" borderId="35" xfId="0" applyFont="1" applyBorder="1"/>
    <xf numFmtId="0" fontId="2" fillId="10" borderId="33" xfId="0" applyFont="1" applyFill="1" applyBorder="1"/>
    <xf numFmtId="0" fontId="0" fillId="11" borderId="3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6" xfId="0" applyFill="1" applyBorder="1" applyAlignment="1">
      <alignment horizontal="centerContinuous"/>
    </xf>
    <xf numFmtId="0" fontId="0" fillId="11" borderId="17" xfId="0" applyFill="1" applyBorder="1" applyAlignment="1">
      <alignment horizontal="centerContinuous"/>
    </xf>
    <xf numFmtId="0" fontId="0" fillId="11" borderId="7" xfId="0" applyFill="1" applyBorder="1"/>
    <xf numFmtId="0" fontId="0" fillId="11" borderId="19" xfId="0" applyFill="1" applyBorder="1"/>
    <xf numFmtId="0" fontId="0" fillId="6" borderId="16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7" xfId="0" applyFill="1" applyBorder="1"/>
    <xf numFmtId="0" fontId="0" fillId="6" borderId="19" xfId="0" applyFill="1" applyBorder="1"/>
    <xf numFmtId="165" fontId="0" fillId="0" borderId="13" xfId="0" applyNumberFormat="1" applyBorder="1"/>
    <xf numFmtId="0" fontId="0" fillId="2" borderId="3" xfId="0" applyFill="1" applyBorder="1"/>
    <xf numFmtId="165" fontId="0" fillId="0" borderId="31" xfId="0" applyNumberFormat="1" applyBorder="1"/>
    <xf numFmtId="0" fontId="0" fillId="15" borderId="22" xfId="0" applyFill="1" applyBorder="1"/>
    <xf numFmtId="0" fontId="0" fillId="15" borderId="2" xfId="0" applyFill="1" applyBorder="1"/>
    <xf numFmtId="0" fontId="0" fillId="15" borderId="21" xfId="0" applyFill="1" applyBorder="1"/>
    <xf numFmtId="165" fontId="0" fillId="15" borderId="1" xfId="0" applyNumberFormat="1" applyFill="1" applyBorder="1"/>
    <xf numFmtId="0" fontId="0" fillId="15" borderId="1" xfId="0" applyFill="1" applyBorder="1"/>
    <xf numFmtId="165" fontId="0" fillId="0" borderId="3" xfId="0" applyNumberFormat="1" applyBorder="1"/>
    <xf numFmtId="0" fontId="0" fillId="0" borderId="3" xfId="0" applyNumberFormat="1" applyBorder="1"/>
    <xf numFmtId="0" fontId="0" fillId="15" borderId="15" xfId="0" applyFill="1" applyBorder="1"/>
    <xf numFmtId="0" fontId="0" fillId="15" borderId="20" xfId="0" applyFill="1" applyBorder="1"/>
    <xf numFmtId="0" fontId="0" fillId="15" borderId="32" xfId="0" applyFill="1" applyBorder="1"/>
    <xf numFmtId="165" fontId="0" fillId="15" borderId="13" xfId="0" applyNumberFormat="1" applyFill="1" applyBorder="1"/>
    <xf numFmtId="0" fontId="3" fillId="15" borderId="1" xfId="0" applyFont="1" applyFill="1" applyBorder="1"/>
    <xf numFmtId="0" fontId="3" fillId="15" borderId="20" xfId="0" applyFont="1" applyFill="1" applyBorder="1"/>
    <xf numFmtId="0" fontId="0" fillId="8" borderId="1" xfId="0" applyFill="1" applyBorder="1"/>
    <xf numFmtId="165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5" fontId="0" fillId="7" borderId="1" xfId="0" applyNumberFormat="1" applyFill="1" applyBorder="1"/>
    <xf numFmtId="0" fontId="0" fillId="7" borderId="1" xfId="0" applyNumberFormat="1" applyFill="1" applyBorder="1"/>
    <xf numFmtId="0" fontId="0" fillId="5" borderId="22" xfId="0" applyFill="1" applyBorder="1" applyAlignment="1">
      <alignment horizontal="centerContinuous"/>
    </xf>
    <xf numFmtId="0" fontId="0" fillId="5" borderId="21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37" xfId="0" applyFill="1" applyBorder="1"/>
    <xf numFmtId="0" fontId="0" fillId="7" borderId="39" xfId="0" applyFill="1" applyBorder="1"/>
    <xf numFmtId="0" fontId="0" fillId="8" borderId="41" xfId="0" applyFill="1" applyBorder="1"/>
    <xf numFmtId="0" fontId="0" fillId="8" borderId="42" xfId="0" applyFill="1" applyBorder="1"/>
    <xf numFmtId="0" fontId="0" fillId="8" borderId="40" xfId="0" applyFill="1" applyBorder="1"/>
    <xf numFmtId="0" fontId="3" fillId="13" borderId="8" xfId="0" applyFont="1" applyFill="1" applyBorder="1"/>
    <xf numFmtId="0" fontId="0" fillId="8" borderId="38" xfId="0" applyFill="1" applyBorder="1"/>
    <xf numFmtId="0" fontId="0" fillId="7" borderId="38" xfId="0" applyFill="1" applyBorder="1"/>
    <xf numFmtId="0" fontId="0" fillId="7" borderId="44" xfId="0" applyFill="1" applyBorder="1"/>
    <xf numFmtId="0" fontId="0" fillId="8" borderId="43" xfId="0" applyFill="1" applyBorder="1" applyAlignment="1">
      <alignment horizontal="center"/>
    </xf>
    <xf numFmtId="0" fontId="0" fillId="18" borderId="22" xfId="0" applyFill="1" applyBorder="1"/>
    <xf numFmtId="0" fontId="0" fillId="18" borderId="2" xfId="0" applyFill="1" applyBorder="1"/>
    <xf numFmtId="0" fontId="0" fillId="18" borderId="21" xfId="0" applyFill="1" applyBorder="1"/>
    <xf numFmtId="0" fontId="2" fillId="16" borderId="15" xfId="0" applyFont="1" applyFill="1" applyBorder="1"/>
    <xf numFmtId="164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5" fontId="2" fillId="16" borderId="13" xfId="0" applyNumberFormat="1" applyFont="1" applyFill="1" applyBorder="1"/>
    <xf numFmtId="0" fontId="2" fillId="17" borderId="15" xfId="0" applyFont="1" applyFill="1" applyBorder="1"/>
    <xf numFmtId="164" fontId="2" fillId="17" borderId="1" xfId="0" applyNumberFormat="1" applyFont="1" applyFill="1" applyBorder="1"/>
    <xf numFmtId="0" fontId="2" fillId="17" borderId="1" xfId="0" applyFont="1" applyFill="1" applyBorder="1"/>
    <xf numFmtId="165" fontId="2" fillId="17" borderId="13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0" fontId="9" fillId="19" borderId="46" xfId="0" applyFont="1" applyFill="1" applyBorder="1" applyAlignment="1">
      <alignment horizont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20" borderId="1" xfId="0" applyFont="1" applyFill="1" applyBorder="1" applyAlignment="1">
      <alignment horizontal="center" vertical="center"/>
    </xf>
    <xf numFmtId="0" fontId="12" fillId="21" borderId="1" xfId="0" applyFont="1" applyFill="1" applyBorder="1" applyAlignment="1">
      <alignment horizontal="center" vertical="center"/>
    </xf>
    <xf numFmtId="0" fontId="13" fillId="5" borderId="47" xfId="0" applyFont="1" applyFill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22" borderId="1" xfId="0" applyFont="1" applyFill="1" applyBorder="1" applyAlignment="1">
      <alignment horizontal="center" vertical="center"/>
    </xf>
    <xf numFmtId="0" fontId="12" fillId="23" borderId="1" xfId="0" applyFont="1" applyFill="1" applyBorder="1" applyAlignment="1">
      <alignment horizontal="center" vertical="center"/>
    </xf>
    <xf numFmtId="0" fontId="12" fillId="5" borderId="48" xfId="0" applyFont="1" applyFill="1" applyBorder="1" applyAlignment="1">
      <alignment horizontal="center" vertical="center"/>
    </xf>
    <xf numFmtId="0" fontId="12" fillId="20" borderId="49" xfId="0" applyFont="1" applyFill="1" applyBorder="1" applyAlignment="1">
      <alignment horizontal="center" vertical="center"/>
    </xf>
    <xf numFmtId="0" fontId="12" fillId="21" borderId="49" xfId="0" applyFont="1" applyFill="1" applyBorder="1" applyAlignment="1">
      <alignment horizontal="center" vertical="center"/>
    </xf>
    <xf numFmtId="0" fontId="12" fillId="12" borderId="49" xfId="0" applyFont="1" applyFill="1" applyBorder="1" applyAlignment="1">
      <alignment horizontal="center" vertical="center"/>
    </xf>
    <xf numFmtId="0" fontId="12" fillId="22" borderId="49" xfId="0" applyFont="1" applyFill="1" applyBorder="1" applyAlignment="1">
      <alignment horizontal="center" vertical="center"/>
    </xf>
    <xf numFmtId="0" fontId="12" fillId="23" borderId="49" xfId="0" applyFont="1" applyFill="1" applyBorder="1" applyAlignment="1">
      <alignment horizontal="center" vertical="center"/>
    </xf>
    <xf numFmtId="0" fontId="12" fillId="23" borderId="50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6" fontId="0" fillId="0" borderId="51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6" fontId="0" fillId="0" borderId="54" xfId="0" applyNumberForma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12" fillId="20" borderId="50" xfId="0" applyFont="1" applyFill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167" fontId="0" fillId="24" borderId="1" xfId="0" applyNumberFormat="1" applyFill="1" applyBorder="1" applyAlignment="1">
      <alignment horizontal="center" vertical="center"/>
    </xf>
    <xf numFmtId="166" fontId="0" fillId="24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0" borderId="13" xfId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5" xfId="0" applyFont="1" applyFill="1" applyBorder="1" applyAlignment="1">
      <alignment horizontal="center" vertical="center"/>
    </xf>
    <xf numFmtId="0" fontId="9" fillId="19" borderId="13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2" fillId="9" borderId="0" xfId="0" applyFont="1" applyFill="1" applyBorder="1"/>
    <xf numFmtId="165" fontId="0" fillId="3" borderId="0" xfId="0" applyNumberFormat="1" applyFill="1" applyBorder="1"/>
    <xf numFmtId="165" fontId="0" fillId="3" borderId="0" xfId="0" applyNumberFormat="1" applyFont="1" applyFill="1" applyBorder="1"/>
    <xf numFmtId="165" fontId="0" fillId="0" borderId="0" xfId="0" applyNumberFormat="1" applyBorder="1"/>
    <xf numFmtId="1" fontId="0" fillId="3" borderId="0" xfId="0" applyNumberFormat="1" applyFill="1" applyBorder="1"/>
    <xf numFmtId="165" fontId="0" fillId="0" borderId="0" xfId="0" applyNumberFormat="1" applyBorder="1" applyAlignment="1"/>
    <xf numFmtId="44" fontId="0" fillId="3" borderId="36" xfId="0" applyNumberFormat="1" applyFill="1" applyBorder="1"/>
    <xf numFmtId="165" fontId="0" fillId="0" borderId="0" xfId="0" applyNumberFormat="1"/>
    <xf numFmtId="0" fontId="12" fillId="9" borderId="0" xfId="0" applyFont="1" applyFill="1" applyBorder="1" applyAlignment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1" fillId="5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center" vertical="center"/>
    </xf>
    <xf numFmtId="0" fontId="16" fillId="5" borderId="47" xfId="0" applyFont="1" applyFill="1" applyBorder="1" applyAlignment="1">
      <alignment horizontal="center" vertical="center"/>
    </xf>
    <xf numFmtId="0" fontId="16" fillId="5" borderId="45" xfId="0" applyFont="1" applyFill="1" applyBorder="1" applyAlignment="1">
      <alignment horizontal="center" vertical="center"/>
    </xf>
    <xf numFmtId="0" fontId="16" fillId="5" borderId="60" xfId="0" applyFont="1" applyFill="1" applyBorder="1" applyAlignment="1">
      <alignment horizontal="center" vertical="center"/>
    </xf>
    <xf numFmtId="44" fontId="0" fillId="0" borderId="0" xfId="0" applyNumberFormat="1" applyBorder="1"/>
    <xf numFmtId="44" fontId="0" fillId="0" borderId="0" xfId="0" applyNumberFormat="1"/>
  </cellXfs>
  <cellStyles count="2">
    <cellStyle name="Lien hypertexte" xfId="1" builtinId="8"/>
    <cellStyle name="Normal" xfId="0" builtinId="0"/>
  </cellStyles>
  <dxfs count="42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165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4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title pos="t" align="ctr" overlay="0"/>
    <cx:plotArea>
      <cx:plotAreaRegion>
        <cx:series layoutId="funnel" uniqueId="{654ED2BF-5001-461E-BFC5-587874C84F1C}"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microsoft.com/office/2014/relationships/chartEx" Target="../charts/chartEx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106680</xdr:colOff>
      <xdr:row>0</xdr:row>
      <xdr:rowOff>77099</xdr:rowOff>
    </xdr:from>
    <xdr:to>
      <xdr:col>8</xdr:col>
      <xdr:colOff>609600</xdr:colOff>
      <xdr:row>28</xdr:row>
      <xdr:rowOff>137846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CF308FF9-6287-4F6F-92BC-2CCC6F5E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120" y="77099"/>
          <a:ext cx="6477000" cy="49680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381000</xdr:colOff>
      <xdr:row>6</xdr:row>
      <xdr:rowOff>243840</xdr:rowOff>
    </xdr:from>
    <xdr:to>
      <xdr:col>9</xdr:col>
      <xdr:colOff>525780</xdr:colOff>
      <xdr:row>6</xdr:row>
      <xdr:rowOff>701040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20852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7</xdr:col>
      <xdr:colOff>259080</xdr:colOff>
      <xdr:row>0</xdr:row>
      <xdr:rowOff>160020</xdr:rowOff>
    </xdr:from>
    <xdr:to>
      <xdr:col>7</xdr:col>
      <xdr:colOff>731520</xdr:colOff>
      <xdr:row>3</xdr:row>
      <xdr:rowOff>106680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3160" y="160020"/>
          <a:ext cx="472440" cy="47244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411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9</xdr:col>
      <xdr:colOff>563880</xdr:colOff>
      <xdr:row>6</xdr:row>
      <xdr:rowOff>243840</xdr:rowOff>
    </xdr:from>
    <xdr:to>
      <xdr:col>10</xdr:col>
      <xdr:colOff>708660</xdr:colOff>
      <xdr:row>6</xdr:row>
      <xdr:rowOff>701040</xdr:rowOff>
    </xdr:to>
    <xdr:sp macro="[0]!Ajouter_clien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824484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746760</xdr:colOff>
      <xdr:row>6</xdr:row>
      <xdr:rowOff>243840</xdr:rowOff>
    </xdr:from>
    <xdr:to>
      <xdr:col>12</xdr:col>
      <xdr:colOff>38100</xdr:colOff>
      <xdr:row>6</xdr:row>
      <xdr:rowOff>701040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81160" y="1295400"/>
          <a:ext cx="99822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243840</xdr:colOff>
      <xdr:row>1</xdr:row>
      <xdr:rowOff>15240</xdr:rowOff>
    </xdr:from>
    <xdr:to>
      <xdr:col>0</xdr:col>
      <xdr:colOff>716280</xdr:colOff>
      <xdr:row>1</xdr:row>
      <xdr:rowOff>487680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9812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342901</xdr:colOff>
      <xdr:row>2</xdr:row>
      <xdr:rowOff>144780</xdr:rowOff>
    </xdr:from>
    <xdr:to>
      <xdr:col>2</xdr:col>
      <xdr:colOff>541021</xdr:colOff>
      <xdr:row>5</xdr:row>
      <xdr:rowOff>144780</xdr:rowOff>
    </xdr:to>
    <xdr:sp macro="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21396306">
          <a:off x="1135381" y="518160"/>
          <a:ext cx="990600" cy="548640"/>
        </a:xfrm>
        <a:prstGeom prst="ellipse">
          <a:avLst/>
        </a:prstGeom>
        <a:ln>
          <a:solidFill>
            <a:srgbClr val="E70DA4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SUNFEST</a:t>
          </a:r>
        </a:p>
      </xdr:txBody>
    </xdr:sp>
    <xdr:clientData/>
  </xdr:twoCellAnchor>
  <xdr:twoCellAnchor>
    <xdr:from>
      <xdr:col>4</xdr:col>
      <xdr:colOff>373380</xdr:colOff>
      <xdr:row>1</xdr:row>
      <xdr:rowOff>106680</xdr:rowOff>
    </xdr:from>
    <xdr:to>
      <xdr:col>6</xdr:col>
      <xdr:colOff>297180</xdr:colOff>
      <xdr:row>4</xdr:row>
      <xdr:rowOff>99060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543300" y="297180"/>
          <a:ext cx="1508760" cy="54102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243840</xdr:colOff>
      <xdr:row>1</xdr:row>
      <xdr:rowOff>0</xdr:rowOff>
    </xdr:from>
    <xdr:to>
      <xdr:col>0</xdr:col>
      <xdr:colOff>716280</xdr:colOff>
      <xdr:row>1</xdr:row>
      <xdr:rowOff>472440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7526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7</xdr:col>
      <xdr:colOff>91440</xdr:colOff>
      <xdr:row>1</xdr:row>
      <xdr:rowOff>7620</xdr:rowOff>
    </xdr:from>
    <xdr:to>
      <xdr:col>8</xdr:col>
      <xdr:colOff>68580</xdr:colOff>
      <xdr:row>1</xdr:row>
      <xdr:rowOff>495300</xdr:rowOff>
    </xdr:to>
    <xdr:sp macro="[0]!Supprim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1722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510540</xdr:colOff>
      <xdr:row>2</xdr:row>
      <xdr:rowOff>160020</xdr:rowOff>
    </xdr:from>
    <xdr:to>
      <xdr:col>15</xdr:col>
      <xdr:colOff>266700</xdr:colOff>
      <xdr:row>17</xdr:row>
      <xdr:rowOff>160020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Graphique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11690" y="836295"/>
              <a:ext cx="4785360" cy="2714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541020</xdr:colOff>
      <xdr:row>1</xdr:row>
      <xdr:rowOff>15240</xdr:rowOff>
    </xdr:from>
    <xdr:to>
      <xdr:col>0</xdr:col>
      <xdr:colOff>1013460</xdr:colOff>
      <xdr:row>1</xdr:row>
      <xdr:rowOff>487680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0500"/>
          <a:ext cx="472440" cy="472440"/>
        </a:xfrm>
        <a:prstGeom prst="rect">
          <a:avLst/>
        </a:prstGeom>
      </xdr:spPr>
    </xdr:pic>
    <xdr:clientData/>
  </xdr:two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849F041A-FD41-4867-9396-1F115EFDC48F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38E6EF1C-26D6-43A9-A912-0D239EDD5747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87EF60DD-E7AB-4D4E-8B49-C11A2BACD263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548640</xdr:colOff>
      <xdr:row>1</xdr:row>
      <xdr:rowOff>0</xdr:rowOff>
    </xdr:from>
    <xdr:to>
      <xdr:col>0</xdr:col>
      <xdr:colOff>1021080</xdr:colOff>
      <xdr:row>1</xdr:row>
      <xdr:rowOff>472440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" y="182880"/>
          <a:ext cx="472440" cy="472440"/>
        </a:xfrm>
        <a:prstGeom prst="rect">
          <a:avLst/>
        </a:prstGeom>
      </xdr:spPr>
    </xdr:pic>
    <xdr:clientData/>
  </xdr:twoCellAnchor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4673BEAD-09A1-4669-9167-63E446825B27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735C55EC-F987-46FB-BCDB-40307C7CF68A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358140</xdr:colOff>
      <xdr:row>1</xdr:row>
      <xdr:rowOff>38100</xdr:rowOff>
    </xdr:from>
    <xdr:to>
      <xdr:col>0</xdr:col>
      <xdr:colOff>830580</xdr:colOff>
      <xdr:row>3</xdr:row>
      <xdr:rowOff>152400</xdr:rowOff>
    </xdr:to>
    <xdr:pic macro="[0]!Menu">
      <xdr:nvPicPr>
        <xdr:cNvPr id="3" name="Imag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213360"/>
          <a:ext cx="472440" cy="472440"/>
        </a:xfrm>
        <a:prstGeom prst="rect">
          <a:avLst/>
        </a:prstGeom>
      </xdr:spPr>
    </xdr:pic>
    <xdr:clientData/>
  </xdr:twoCellAnchor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37588FFF-1B91-4FEE-A912-2E2D33B585DA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9</xdr:row>
      <xdr:rowOff>17417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8</xdr:row>
      <xdr:rowOff>108857</xdr:rowOff>
    </xdr:from>
    <xdr:to>
      <xdr:col>4</xdr:col>
      <xdr:colOff>374469</xdr:colOff>
      <xdr:row>19</xdr:row>
      <xdr:rowOff>16329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3</xdr:row>
      <xdr:rowOff>174171</xdr:rowOff>
    </xdr:from>
    <xdr:to>
      <xdr:col>3</xdr:col>
      <xdr:colOff>659131</xdr:colOff>
      <xdr:row>11</xdr:row>
      <xdr:rowOff>115389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7</xdr:row>
      <xdr:rowOff>83820</xdr:rowOff>
    </xdr:from>
    <xdr:to>
      <xdr:col>4</xdr:col>
      <xdr:colOff>607967</xdr:colOff>
      <xdr:row>11</xdr:row>
      <xdr:rowOff>168729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10</xdr:row>
      <xdr:rowOff>151311</xdr:rowOff>
    </xdr:from>
    <xdr:to>
      <xdr:col>6</xdr:col>
      <xdr:colOff>548640</xdr:colOff>
      <xdr:row>19</xdr:row>
      <xdr:rowOff>145869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3</xdr:row>
      <xdr:rowOff>120831</xdr:rowOff>
    </xdr:from>
    <xdr:to>
      <xdr:col>7</xdr:col>
      <xdr:colOff>102325</xdr:colOff>
      <xdr:row>14</xdr:row>
      <xdr:rowOff>74023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8</xdr:row>
      <xdr:rowOff>53340</xdr:rowOff>
    </xdr:from>
    <xdr:to>
      <xdr:col>2</xdr:col>
      <xdr:colOff>156754</xdr:colOff>
      <xdr:row>14</xdr:row>
      <xdr:rowOff>127363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10</xdr:row>
      <xdr:rowOff>4354</xdr:rowOff>
    </xdr:from>
    <xdr:to>
      <xdr:col>3</xdr:col>
      <xdr:colOff>189411</xdr:colOff>
      <xdr:row>19</xdr:row>
      <xdr:rowOff>16329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15</xdr:row>
      <xdr:rowOff>121920</xdr:rowOff>
    </xdr:from>
    <xdr:to>
      <xdr:col>4</xdr:col>
      <xdr:colOff>130629</xdr:colOff>
      <xdr:row>33</xdr:row>
      <xdr:rowOff>44631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17</xdr:row>
      <xdr:rowOff>63681</xdr:rowOff>
    </xdr:from>
    <xdr:to>
      <xdr:col>6</xdr:col>
      <xdr:colOff>655320</xdr:colOff>
      <xdr:row>28</xdr:row>
      <xdr:rowOff>9253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24</xdr:row>
      <xdr:rowOff>65314</xdr:rowOff>
    </xdr:from>
    <xdr:to>
      <xdr:col>5</xdr:col>
      <xdr:colOff>376646</xdr:colOff>
      <xdr:row>35</xdr:row>
      <xdr:rowOff>48986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23</xdr:row>
      <xdr:rowOff>146957</xdr:rowOff>
    </xdr:from>
    <xdr:to>
      <xdr:col>7</xdr:col>
      <xdr:colOff>91440</xdr:colOff>
      <xdr:row>32</xdr:row>
      <xdr:rowOff>95794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31</xdr:row>
      <xdr:rowOff>93617</xdr:rowOff>
    </xdr:from>
    <xdr:to>
      <xdr:col>8</xdr:col>
      <xdr:colOff>253637</xdr:colOff>
      <xdr:row>38</xdr:row>
      <xdr:rowOff>40277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304437</xdr:colOff>
      <xdr:row>29</xdr:row>
      <xdr:rowOff>39007</xdr:rowOff>
    </xdr:from>
    <xdr:to>
      <xdr:col>8</xdr:col>
      <xdr:colOff>609237</xdr:colOff>
      <xdr:row>32</xdr:row>
      <xdr:rowOff>69487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278517" y="5121547"/>
          <a:ext cx="1158240" cy="556260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Parking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1</xdr:row>
      <xdr:rowOff>0</xdr:rowOff>
    </xdr:from>
    <xdr:to>
      <xdr:col>0</xdr:col>
      <xdr:colOff>670560</xdr:colOff>
      <xdr:row>1</xdr:row>
      <xdr:rowOff>473529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D7EFCB8E-2534-4E78-9F85-44DB59D93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175260"/>
          <a:ext cx="472440" cy="473529"/>
        </a:xfrm>
        <a:prstGeom prst="rect">
          <a:avLst/>
        </a:prstGeom>
      </xdr:spPr>
    </xdr:pic>
    <xdr:clientData/>
  </xdr:twoCellAnchor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88B9D81A-A6D9-4734-9CB1-FB183A6F6A19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726077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26EE9337-FFF8-46E2-90B0-59E2A4BF6D0C}"/>
            </a:ext>
          </a:extLst>
        </xdr:cNvPr>
        <xdr:cNvSpPr/>
      </xdr:nvSpPr>
      <xdr:spPr>
        <a:xfrm>
          <a:off x="1606731" y="20574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756557</xdr:colOff>
      <xdr:row>1</xdr:row>
      <xdr:rowOff>30480</xdr:rowOff>
    </xdr:from>
    <xdr:to>
      <xdr:col>3</xdr:col>
      <xdr:colOff>729343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FDBAAA47-2415-42C2-A6F5-ECDD0FB70D67}"/>
            </a:ext>
          </a:extLst>
        </xdr:cNvPr>
        <xdr:cNvSpPr/>
      </xdr:nvSpPr>
      <xdr:spPr>
        <a:xfrm>
          <a:off x="2463437" y="205740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752203</xdr:colOff>
      <xdr:row>1</xdr:row>
      <xdr:rowOff>30480</xdr:rowOff>
    </xdr:from>
    <xdr:to>
      <xdr:col>4</xdr:col>
      <xdr:colOff>846909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4228BE00-9129-4DA0-B6F2-6C8F1BA354BB}"/>
            </a:ext>
          </a:extLst>
        </xdr:cNvPr>
        <xdr:cNvSpPr/>
      </xdr:nvSpPr>
      <xdr:spPr>
        <a:xfrm>
          <a:off x="331252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32657</xdr:colOff>
      <xdr:row>1</xdr:row>
      <xdr:rowOff>15240</xdr:rowOff>
    </xdr:from>
    <xdr:to>
      <xdr:col>6</xdr:col>
      <xdr:colOff>858883</xdr:colOff>
      <xdr:row>1</xdr:row>
      <xdr:rowOff>504009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9422650F-7A01-4129-B58D-48814E25BF0D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6</xdr:col>
      <xdr:colOff>889363</xdr:colOff>
      <xdr:row>1</xdr:row>
      <xdr:rowOff>15240</xdr:rowOff>
    </xdr:from>
    <xdr:to>
      <xdr:col>7</xdr:col>
      <xdr:colOff>374469</xdr:colOff>
      <xdr:row>1</xdr:row>
      <xdr:rowOff>504009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FF48AF3D-B826-47D7-AD7D-2DE63895E4AE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7</xdr:col>
      <xdr:colOff>397329</xdr:colOff>
      <xdr:row>1</xdr:row>
      <xdr:rowOff>15240</xdr:rowOff>
    </xdr:from>
    <xdr:to>
      <xdr:col>8</xdr:col>
      <xdr:colOff>370114</xdr:colOff>
      <xdr:row>1</xdr:row>
      <xdr:rowOff>504009</xdr:rowOff>
    </xdr:to>
    <xdr:sp macro="[0]!Client" textlink="">
      <xdr:nvSpPr>
        <xdr:cNvPr id="9" name="Rectangle 8">
          <a:extLst>
            <a:ext uri="{FF2B5EF4-FFF2-40B4-BE49-F238E27FC236}">
              <a16:creationId xmlns:a16="http://schemas.microsoft.com/office/drawing/2014/main" id="{DFEB21A8-8B69-43EF-A272-0D3AEBFF6608}"/>
            </a:ext>
          </a:extLst>
        </xdr:cNvPr>
        <xdr:cNvSpPr/>
      </xdr:nvSpPr>
      <xdr:spPr>
        <a:xfrm>
          <a:off x="6927669" y="19050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8</xdr:col>
      <xdr:colOff>412568</xdr:colOff>
      <xdr:row>1</xdr:row>
      <xdr:rowOff>16329</xdr:rowOff>
    </xdr:from>
    <xdr:to>
      <xdr:col>9</xdr:col>
      <xdr:colOff>385353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DB48A813-E7AF-4E79-BE44-BEFF3CD48F47}"/>
            </a:ext>
          </a:extLst>
        </xdr:cNvPr>
        <xdr:cNvSpPr/>
      </xdr:nvSpPr>
      <xdr:spPr>
        <a:xfrm>
          <a:off x="779634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283028</xdr:colOff>
      <xdr:row>1</xdr:row>
      <xdr:rowOff>108857</xdr:rowOff>
    </xdr:from>
    <xdr:to>
      <xdr:col>0</xdr:col>
      <xdr:colOff>755468</xdr:colOff>
      <xdr:row>1</xdr:row>
      <xdr:rowOff>582386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EE0FD375-1F6B-4904-B418-18CEA6C08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028" y="283028"/>
          <a:ext cx="472440" cy="473529"/>
        </a:xfrm>
        <a:prstGeom prst="rect">
          <a:avLst/>
        </a:prstGeom>
      </xdr:spPr>
    </xdr:pic>
    <xdr:clientData/>
  </xdr:twoCellAnchor>
  <xdr:twoCellAnchor>
    <xdr:from>
      <xdr:col>0</xdr:col>
      <xdr:colOff>834934</xdr:colOff>
      <xdr:row>1</xdr:row>
      <xdr:rowOff>139337</xdr:rowOff>
    </xdr:from>
    <xdr:to>
      <xdr:col>1</xdr:col>
      <xdr:colOff>659673</xdr:colOff>
      <xdr:row>1</xdr:row>
      <xdr:rowOff>597626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1B331D26-A297-4234-9A71-A9BA9DCE46E0}"/>
            </a:ext>
          </a:extLst>
        </xdr:cNvPr>
        <xdr:cNvSpPr/>
      </xdr:nvSpPr>
      <xdr:spPr>
        <a:xfrm>
          <a:off x="834934" y="313508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690153</xdr:colOff>
      <xdr:row>1</xdr:row>
      <xdr:rowOff>139337</xdr:rowOff>
    </xdr:from>
    <xdr:to>
      <xdr:col>2</xdr:col>
      <xdr:colOff>667294</xdr:colOff>
      <xdr:row>1</xdr:row>
      <xdr:rowOff>597626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AA70D3C-FA59-4CA4-B20D-F33ED398B8DF}"/>
            </a:ext>
          </a:extLst>
        </xdr:cNvPr>
        <xdr:cNvSpPr/>
      </xdr:nvSpPr>
      <xdr:spPr>
        <a:xfrm>
          <a:off x="1691639" y="313508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697774</xdr:colOff>
      <xdr:row>1</xdr:row>
      <xdr:rowOff>139337</xdr:rowOff>
    </xdr:from>
    <xdr:to>
      <xdr:col>3</xdr:col>
      <xdr:colOff>674914</xdr:colOff>
      <xdr:row>1</xdr:row>
      <xdr:rowOff>597626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4B5646E4-0E59-4313-A3EB-60D5A4F185E9}"/>
            </a:ext>
          </a:extLst>
        </xdr:cNvPr>
        <xdr:cNvSpPr/>
      </xdr:nvSpPr>
      <xdr:spPr>
        <a:xfrm>
          <a:off x="2548345" y="313508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697774</xdr:colOff>
      <xdr:row>1</xdr:row>
      <xdr:rowOff>139337</xdr:rowOff>
    </xdr:from>
    <xdr:to>
      <xdr:col>4</xdr:col>
      <xdr:colOff>819694</xdr:colOff>
      <xdr:row>1</xdr:row>
      <xdr:rowOff>597626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B3761AE0-C147-4CE2-92CF-0E2CB9970B89}"/>
            </a:ext>
          </a:extLst>
        </xdr:cNvPr>
        <xdr:cNvSpPr/>
      </xdr:nvSpPr>
      <xdr:spPr>
        <a:xfrm>
          <a:off x="3397431" y="313508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14151</xdr:colOff>
      <xdr:row>1</xdr:row>
      <xdr:rowOff>124097</xdr:rowOff>
    </xdr:from>
    <xdr:to>
      <xdr:col>6</xdr:col>
      <xdr:colOff>840377</xdr:colOff>
      <xdr:row>1</xdr:row>
      <xdr:rowOff>612866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FE587B69-B4AD-4EB5-9159-6C46D531C042}"/>
            </a:ext>
          </a:extLst>
        </xdr:cNvPr>
        <xdr:cNvSpPr/>
      </xdr:nvSpPr>
      <xdr:spPr>
        <a:xfrm>
          <a:off x="5261065" y="298268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7</xdr:col>
      <xdr:colOff>21771</xdr:colOff>
      <xdr:row>1</xdr:row>
      <xdr:rowOff>124097</xdr:rowOff>
    </xdr:from>
    <xdr:to>
      <xdr:col>8</xdr:col>
      <xdr:colOff>44631</xdr:colOff>
      <xdr:row>1</xdr:row>
      <xdr:rowOff>612866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430A68F1-B824-4D2E-973A-DFCC432246E3}"/>
            </a:ext>
          </a:extLst>
        </xdr:cNvPr>
        <xdr:cNvSpPr/>
      </xdr:nvSpPr>
      <xdr:spPr>
        <a:xfrm>
          <a:off x="6117771" y="298268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67491</xdr:colOff>
      <xdr:row>1</xdr:row>
      <xdr:rowOff>124097</xdr:rowOff>
    </xdr:from>
    <xdr:to>
      <xdr:col>9</xdr:col>
      <xdr:colOff>44631</xdr:colOff>
      <xdr:row>1</xdr:row>
      <xdr:rowOff>612866</xdr:rowOff>
    </xdr:to>
    <xdr:sp macro="[0]!Client" textlink="">
      <xdr:nvSpPr>
        <xdr:cNvPr id="9" name="Rectangle 8">
          <a:extLst>
            <a:ext uri="{FF2B5EF4-FFF2-40B4-BE49-F238E27FC236}">
              <a16:creationId xmlns:a16="http://schemas.microsoft.com/office/drawing/2014/main" id="{0DE59E5C-905E-48E7-9FA2-76B3BF4CB7EB}"/>
            </a:ext>
          </a:extLst>
        </xdr:cNvPr>
        <xdr:cNvSpPr/>
      </xdr:nvSpPr>
      <xdr:spPr>
        <a:xfrm>
          <a:off x="7012577" y="298268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9</xdr:col>
      <xdr:colOff>87085</xdr:colOff>
      <xdr:row>1</xdr:row>
      <xdr:rowOff>125186</xdr:rowOff>
    </xdr:from>
    <xdr:to>
      <xdr:col>10</xdr:col>
      <xdr:colOff>64224</xdr:colOff>
      <xdr:row>1</xdr:row>
      <xdr:rowOff>613955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D613258B-5562-4494-9F47-8134130FBDF1}"/>
            </a:ext>
          </a:extLst>
        </xdr:cNvPr>
        <xdr:cNvSpPr/>
      </xdr:nvSpPr>
      <xdr:spPr>
        <a:xfrm>
          <a:off x="7881256" y="299357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489857</xdr:colOff>
      <xdr:row>0</xdr:row>
      <xdr:rowOff>163286</xdr:rowOff>
    </xdr:from>
    <xdr:to>
      <xdr:col>0</xdr:col>
      <xdr:colOff>962297</xdr:colOff>
      <xdr:row>1</xdr:row>
      <xdr:rowOff>462644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CDF87CF7-2AB4-4778-8B39-FE43361787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163286"/>
          <a:ext cx="472440" cy="473529"/>
        </a:xfrm>
        <a:prstGeom prst="rect">
          <a:avLst/>
        </a:prstGeom>
      </xdr:spPr>
    </xdr:pic>
    <xdr:clientData/>
  </xdr:twoCellAnchor>
  <xdr:twoCellAnchor>
    <xdr:from>
      <xdr:col>0</xdr:col>
      <xdr:colOff>1041763</xdr:colOff>
      <xdr:row>1</xdr:row>
      <xdr:rowOff>19595</xdr:rowOff>
    </xdr:from>
    <xdr:to>
      <xdr:col>1</xdr:col>
      <xdr:colOff>104502</xdr:colOff>
      <xdr:row>1</xdr:row>
      <xdr:rowOff>477884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D6E2BFC6-07F0-46B4-87B9-9C1374218AED}"/>
            </a:ext>
          </a:extLst>
        </xdr:cNvPr>
        <xdr:cNvSpPr/>
      </xdr:nvSpPr>
      <xdr:spPr>
        <a:xfrm>
          <a:off x="1041763" y="193766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134982</xdr:colOff>
      <xdr:row>1</xdr:row>
      <xdr:rowOff>19595</xdr:rowOff>
    </xdr:from>
    <xdr:to>
      <xdr:col>1</xdr:col>
      <xdr:colOff>956854</xdr:colOff>
      <xdr:row>1</xdr:row>
      <xdr:rowOff>477884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1AC2B558-6A8F-4614-8578-4FC7B0A7286D}"/>
            </a:ext>
          </a:extLst>
        </xdr:cNvPr>
        <xdr:cNvSpPr/>
      </xdr:nvSpPr>
      <xdr:spPr>
        <a:xfrm>
          <a:off x="1898468" y="193766"/>
          <a:ext cx="821872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</xdr:col>
      <xdr:colOff>987334</xdr:colOff>
      <xdr:row>1</xdr:row>
      <xdr:rowOff>19595</xdr:rowOff>
    </xdr:from>
    <xdr:to>
      <xdr:col>2</xdr:col>
      <xdr:colOff>224246</xdr:colOff>
      <xdr:row>1</xdr:row>
      <xdr:rowOff>477884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B76FB407-6CAD-4D57-8659-B08D49A45C72}"/>
            </a:ext>
          </a:extLst>
        </xdr:cNvPr>
        <xdr:cNvSpPr/>
      </xdr:nvSpPr>
      <xdr:spPr>
        <a:xfrm>
          <a:off x="2750820" y="193766"/>
          <a:ext cx="82622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2</xdr:col>
      <xdr:colOff>247106</xdr:colOff>
      <xdr:row>1</xdr:row>
      <xdr:rowOff>19595</xdr:rowOff>
    </xdr:from>
    <xdr:to>
      <xdr:col>2</xdr:col>
      <xdr:colOff>1222466</xdr:colOff>
      <xdr:row>1</xdr:row>
      <xdr:rowOff>477884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F33687FD-5348-4BAA-A43C-6FF8F8C53E6F}"/>
            </a:ext>
          </a:extLst>
        </xdr:cNvPr>
        <xdr:cNvSpPr/>
      </xdr:nvSpPr>
      <xdr:spPr>
        <a:xfrm>
          <a:off x="3599906" y="193766"/>
          <a:ext cx="975360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3</xdr:col>
      <xdr:colOff>530134</xdr:colOff>
      <xdr:row>1</xdr:row>
      <xdr:rowOff>4355</xdr:rowOff>
    </xdr:from>
    <xdr:to>
      <xdr:col>3</xdr:col>
      <xdr:colOff>1356360</xdr:colOff>
      <xdr:row>1</xdr:row>
      <xdr:rowOff>493124</xdr:rowOff>
    </xdr:to>
    <xdr:sp macro="[0]!Ajouter_musicien" textlink="">
      <xdr:nvSpPr>
        <xdr:cNvPr id="7" name="Rectangle 6">
          <a:extLst>
            <a:ext uri="{FF2B5EF4-FFF2-40B4-BE49-F238E27FC236}">
              <a16:creationId xmlns:a16="http://schemas.microsoft.com/office/drawing/2014/main" id="{84D65153-65BD-40E2-B472-C04E2FFDD9FD}"/>
            </a:ext>
          </a:extLst>
        </xdr:cNvPr>
        <xdr:cNvSpPr/>
      </xdr:nvSpPr>
      <xdr:spPr>
        <a:xfrm>
          <a:off x="5472248" y="178526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3</xdr:col>
      <xdr:colOff>1386840</xdr:colOff>
      <xdr:row>1</xdr:row>
      <xdr:rowOff>4355</xdr:rowOff>
    </xdr:from>
    <xdr:to>
      <xdr:col>4</xdr:col>
      <xdr:colOff>673826</xdr:colOff>
      <xdr:row>1</xdr:row>
      <xdr:rowOff>493124</xdr:rowOff>
    </xdr:to>
    <xdr:sp macro="[0]!Modifier_musicien" textlink="">
      <xdr:nvSpPr>
        <xdr:cNvPr id="8" name="Rectangle 7">
          <a:extLst>
            <a:ext uri="{FF2B5EF4-FFF2-40B4-BE49-F238E27FC236}">
              <a16:creationId xmlns:a16="http://schemas.microsoft.com/office/drawing/2014/main" id="{FCA61D75-9BEE-4826-903F-9529E34CF968}"/>
            </a:ext>
          </a:extLst>
        </xdr:cNvPr>
        <xdr:cNvSpPr/>
      </xdr:nvSpPr>
      <xdr:spPr>
        <a:xfrm>
          <a:off x="6328954" y="178526"/>
          <a:ext cx="876301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696686</xdr:colOff>
      <xdr:row>1</xdr:row>
      <xdr:rowOff>4355</xdr:rowOff>
    </xdr:from>
    <xdr:to>
      <xdr:col>5</xdr:col>
      <xdr:colOff>669471</xdr:colOff>
      <xdr:row>1</xdr:row>
      <xdr:rowOff>493124</xdr:rowOff>
    </xdr:to>
    <xdr:sp macro="[0]!Client" textlink="">
      <xdr:nvSpPr>
        <xdr:cNvPr id="9" name="Rectangle 8">
          <a:extLst>
            <a:ext uri="{FF2B5EF4-FFF2-40B4-BE49-F238E27FC236}">
              <a16:creationId xmlns:a16="http://schemas.microsoft.com/office/drawing/2014/main" id="{BBDA0555-61B9-458D-A758-66D5613BE608}"/>
            </a:ext>
          </a:extLst>
        </xdr:cNvPr>
        <xdr:cNvSpPr/>
      </xdr:nvSpPr>
      <xdr:spPr>
        <a:xfrm>
          <a:off x="7228115" y="178526"/>
          <a:ext cx="821870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5</xdr:col>
      <xdr:colOff>711925</xdr:colOff>
      <xdr:row>1</xdr:row>
      <xdr:rowOff>5444</xdr:rowOff>
    </xdr:from>
    <xdr:to>
      <xdr:col>6</xdr:col>
      <xdr:colOff>684710</xdr:colOff>
      <xdr:row>1</xdr:row>
      <xdr:rowOff>494213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AF826510-3D90-40A8-8E8C-FEAAE0895B8D}"/>
            </a:ext>
          </a:extLst>
        </xdr:cNvPr>
        <xdr:cNvSpPr/>
      </xdr:nvSpPr>
      <xdr:spPr>
        <a:xfrm>
          <a:off x="8092439" y="179615"/>
          <a:ext cx="821871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29" totalsRowShown="0" headerRowBorderDxfId="41" tableBorderDxfId="40">
  <autoFilter ref="A4:P29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39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1" xr3:uid="{C93924A8-748F-49CA-B0DF-14A8E55D74AA}" name="Nb Benevole"/>
    <tableColumn id="12" xr3:uid="{BAB27BBD-23C3-4598-810E-67B4DD77AB16}" name="N°"/>
    <tableColumn id="13" xr3:uid="{46E1FFE3-A202-43B6-9B8C-AC4A2579D70F}" name="Dat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8" dataDxfId="36" headerRowBorderDxfId="37" tableBorderDxfId="35" totalsRowBorderDxfId="34">
  <autoFilter ref="A4:I16" xr:uid="{90811788-676C-4BF4-B58C-00FE94C05793}"/>
  <tableColumns count="9">
    <tableColumn id="1" xr3:uid="{124AA7EB-E194-4C6B-96CD-C0755F4FE937}" name="Type_Billet" dataDxfId="33"/>
    <tableColumn id="2" xr3:uid="{D2EA8DFE-BC90-4ECD-9B67-EC3E19783684}" name="Prix" dataDxfId="32"/>
    <tableColumn id="3" xr3:uid="{A985D443-EAAF-4842-B406-1367D875E0A6}" name="Disponible" dataDxfId="31"/>
    <tableColumn id="4" xr3:uid="{48FCF44E-B919-4080-8996-F991B3EB5908}" name="ref" dataDxfId="30"/>
    <tableColumn id="5" xr3:uid="{B3A6DB91-AFD2-4278-BE0D-A35CF8832A23}" name="vente" dataDxfId="29"/>
    <tableColumn id="6" xr3:uid="{249ED6AC-FE43-4366-B076-22252A51FDAB}" name="Reste" dataDxfId="28">
      <calculatedColumnFormula>C5-E5</calculatedColumnFormula>
    </tableColumn>
    <tableColumn id="7" xr3:uid="{11F1813A-6B25-4BC6-8BD2-6DEAA2674878}" name="Camping" dataDxfId="27"/>
    <tableColumn id="8" xr3:uid="{BE571590-395D-4665-B692-CE6DB15D2FA9}" name="Place camping" dataDxfId="26">
      <calculatedColumnFormula>IF(G5="Oui",(VLOOKUP(C5,$C$5:$G$16,1,FALSE)),"")</calculatedColumnFormula>
    </tableColumn>
    <tableColumn id="9" xr3:uid="{00B1D88B-8BA4-4B91-816F-DBD95D642A76}" name="Recettes" dataDxfId="25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7" totalsRowShown="0" headerRowDxfId="24" tableBorderDxfId="23">
  <autoFilter ref="A4:F7" xr:uid="{2E8F5E0D-B06A-4147-911D-3626054EC3A9}"/>
  <tableColumns count="6">
    <tableColumn id="1" xr3:uid="{CD30A2CD-DDEF-4B0D-B014-596D12D86612}" name="Type Hébergement" dataDxfId="22"/>
    <tableColumn id="2" xr3:uid="{BA5500B9-2504-4CDF-A19F-E618B1BDF033}" name="Prix" dataDxfId="21"/>
    <tableColumn id="3" xr3:uid="{291F5D36-ED10-48E8-81B0-7BD763EE81DA}" name="Disponibles" dataDxfId="20">
      <calculatedColumnFormula>B11</calculatedColumnFormula>
    </tableColumn>
    <tableColumn id="4" xr3:uid="{93B653CB-6BA3-4182-96A8-B84FA31EED69}" name="Réservés" dataDxfId="19"/>
    <tableColumn id="5" xr3:uid="{87A892ED-59A3-4299-B290-4946E25D0706}" name="Restants" dataDxfId="18">
      <calculatedColumnFormula>C5-D5</calculatedColumnFormula>
    </tableColumn>
    <tableColumn id="6" xr3:uid="{95430BCA-BD8B-484B-A686-73A5FE082B93}" name="Cout" dataDxfId="17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11993F-4417-4E7E-B217-5BA534D251B6}" name="Tableau5" displayName="Tableau5" ref="A9:E13" totalsRowShown="0" headerRowDxfId="16" headerRowBorderDxfId="15" tableBorderDxfId="14" totalsRowBorderDxfId="13">
  <autoFilter ref="A9:E13" xr:uid="{A5B06B95-056B-4029-B461-A1379F5CD792}"/>
  <tableColumns count="5">
    <tableColumn id="1" xr3:uid="{AB9D3724-4889-4513-A6BE-D73610F4F495}" name="Type Hébergement" dataDxfId="12"/>
    <tableColumn id="2" xr3:uid="{1A11665E-1724-4F3D-84D2-78C902F7073B}" name="Nb Disponible" dataDxfId="11"/>
    <tableColumn id="3" xr3:uid="{4BBD6F79-A96F-4F1B-B5CF-DA4AFFA9760D}" name="Réservé" dataDxfId="10">
      <calculatedColumnFormula>D5/2</calculatedColumnFormula>
    </tableColumn>
    <tableColumn id="4" xr3:uid="{5440497D-1468-4421-BFAF-20B8AC898876}" name="Coût" dataDxfId="9"/>
    <tableColumn id="5" xr3:uid="{F1A96EA9-ED53-4A71-ADDC-0724441F2F01}" name="Coût total">
      <calculatedColumnFormula>D10*C10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G19" totalsRowShown="0" dataDxfId="8" tableBorderDxfId="7">
  <autoFilter ref="A4:G19" xr:uid="{E95571A5-2109-41E4-9B37-B2398BA3306C}"/>
  <tableColumns count="7">
    <tableColumn id="1" xr3:uid="{255814DC-44BA-4449-BE4F-2A72E9B50890}" name="Nom" dataDxfId="6"/>
    <tableColumn id="2" xr3:uid="{0C957113-DCF8-4DDA-A266-CBA2394D53AE}" name="Prénom" dataDxfId="5"/>
    <tableColumn id="3" xr3:uid="{43CB1B3B-AD16-40AE-8C76-4D14348A7BEE}" name="Poste" dataDxfId="4"/>
    <tableColumn id="4" xr3:uid="{B009AA9D-77CE-4B70-ACE8-678C916B7D67}" name="Téléphone" dataDxfId="3"/>
    <tableColumn id="5" xr3:uid="{0D3052CD-967B-4C98-BAF0-9717B0E49835}" name="Ville" dataDxfId="2"/>
    <tableColumn id="6" xr3:uid="{BDD580BC-A12B-469E-A5DD-964E26E7D819}" name="CP" dataDxfId="1"/>
    <tableColumn id="7" xr3:uid="{162C20E4-276D-4130-A8DF-53642BD83B93}" name="E-mail" dataDxfId="0" dataCellStyle="Lien hypertexte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Mimi7@yahoo.com" TargetMode="External"/><Relationship Id="rId13" Type="http://schemas.openxmlformats.org/officeDocument/2006/relationships/table" Target="../tables/table6.xml"/><Relationship Id="rId3" Type="http://schemas.openxmlformats.org/officeDocument/2006/relationships/hyperlink" Target="mailto:Christe.90@hotmail.fr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drawing" Target="../drawings/drawing10.xml"/><Relationship Id="rId2" Type="http://schemas.openxmlformats.org/officeDocument/2006/relationships/hyperlink" Target="mailto:Bob.16@gmail.com" TargetMode="External"/><Relationship Id="rId1" Type="http://schemas.openxmlformats.org/officeDocument/2006/relationships/hyperlink" Target="mailto:daniel@yahoo.com" TargetMode="External"/><Relationship Id="rId6" Type="http://schemas.openxmlformats.org/officeDocument/2006/relationships/hyperlink" Target="mailto:Mira133@homail.fr" TargetMode="External"/><Relationship Id="rId11" Type="http://schemas.openxmlformats.org/officeDocument/2006/relationships/hyperlink" Target="mailto:Samba77@gmail.com" TargetMode="External"/><Relationship Id="rId5" Type="http://schemas.openxmlformats.org/officeDocument/2006/relationships/hyperlink" Target="mailto:albert19@gmail.com" TargetMode="External"/><Relationship Id="rId10" Type="http://schemas.openxmlformats.org/officeDocument/2006/relationships/hyperlink" Target="mailto:Olivier89@laposte.com" TargetMode="External"/><Relationship Id="rId4" Type="http://schemas.openxmlformats.org/officeDocument/2006/relationships/hyperlink" Target="mailto:Vic.M@live.fr" TargetMode="External"/><Relationship Id="rId9" Type="http://schemas.openxmlformats.org/officeDocument/2006/relationships/hyperlink" Target="mailto:fredi@gmail.com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A1"/>
  <sheetViews>
    <sheetView showGridLines="0" topLeftCell="B1" workbookViewId="0">
      <selection activeCell="L10" sqref="L10"/>
    </sheetView>
  </sheetViews>
  <sheetFormatPr baseColWidth="10" defaultRowHeight="14.25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68" zoomScaleNormal="68" workbookViewId="0">
      <selection activeCell="G10" sqref="G10"/>
    </sheetView>
  </sheetViews>
  <sheetFormatPr baseColWidth="10" defaultRowHeight="14.25"/>
  <cols>
    <col min="4" max="4" width="11.75" customWidth="1"/>
  </cols>
  <sheetData>
    <row r="2" spans="1:10">
      <c r="C2" s="173"/>
      <c r="D2" s="26"/>
      <c r="E2" s="26"/>
      <c r="F2" s="26"/>
      <c r="G2" s="26"/>
    </row>
    <row r="3" spans="1:10">
      <c r="B3" s="26"/>
      <c r="C3" s="26"/>
      <c r="D3" s="26"/>
      <c r="E3" s="26"/>
      <c r="F3" s="26"/>
      <c r="G3" s="26"/>
      <c r="J3">
        <v>24</v>
      </c>
    </row>
    <row r="4" spans="1:10">
      <c r="B4" s="26"/>
      <c r="C4" s="26"/>
      <c r="D4" s="26"/>
      <c r="E4" s="26"/>
      <c r="F4" s="26"/>
      <c r="G4" s="26"/>
    </row>
    <row r="5" spans="1:10">
      <c r="B5" s="26"/>
      <c r="C5" s="26"/>
      <c r="D5" s="26"/>
      <c r="E5" s="50" t="s">
        <v>240</v>
      </c>
      <c r="F5" s="175">
        <v>43859.388842592591</v>
      </c>
      <c r="G5" s="26"/>
    </row>
    <row r="6" spans="1:10">
      <c r="B6" s="26"/>
      <c r="C6" s="26"/>
      <c r="D6" s="26"/>
      <c r="E6" s="51" t="s">
        <v>239</v>
      </c>
      <c r="F6" s="26">
        <v>24</v>
      </c>
      <c r="G6" s="26"/>
    </row>
    <row r="7" spans="1:10" ht="223.15" customHeight="1">
      <c r="B7" s="26"/>
      <c r="C7" s="26"/>
      <c r="D7" s="26"/>
      <c r="F7" s="26"/>
      <c r="G7" s="26"/>
    </row>
    <row r="8" spans="1:10" ht="18.75">
      <c r="A8" s="49" t="s">
        <v>237</v>
      </c>
      <c r="B8" s="26"/>
      <c r="D8" s="42"/>
      <c r="E8" s="42"/>
      <c r="F8" s="42"/>
      <c r="G8" s="26"/>
    </row>
    <row r="9" spans="1:10" ht="15.75">
      <c r="B9" s="176" t="s">
        <v>22</v>
      </c>
      <c r="C9" s="48"/>
      <c r="D9" s="185" t="s">
        <v>350</v>
      </c>
      <c r="E9" s="185"/>
      <c r="F9" s="185"/>
      <c r="G9" s="26"/>
    </row>
    <row r="10" spans="1:10" ht="15.75">
      <c r="B10" s="176" t="s">
        <v>23</v>
      </c>
      <c r="C10" s="48"/>
      <c r="D10" s="177" t="s">
        <v>350</v>
      </c>
      <c r="E10" s="177"/>
      <c r="F10" s="177"/>
      <c r="G10" s="195"/>
    </row>
    <row r="11" spans="1:10" ht="15.75">
      <c r="B11" s="176" t="s">
        <v>24</v>
      </c>
      <c r="C11" s="48"/>
      <c r="D11" s="177" t="s">
        <v>343</v>
      </c>
      <c r="E11" s="177"/>
      <c r="F11" s="177"/>
      <c r="G11" s="26"/>
    </row>
    <row r="12" spans="1:10" ht="15.75">
      <c r="B12" s="176" t="s">
        <v>25</v>
      </c>
      <c r="C12" s="48"/>
      <c r="D12" s="177" t="s">
        <v>350</v>
      </c>
      <c r="E12" s="177"/>
      <c r="F12" s="177"/>
      <c r="G12" s="26"/>
    </row>
    <row r="13" spans="1:10" ht="15.75">
      <c r="B13" s="176" t="s">
        <v>238</v>
      </c>
      <c r="C13" s="48"/>
      <c r="D13" s="177" t="s">
        <v>350</v>
      </c>
      <c r="E13" s="177"/>
      <c r="F13" s="177"/>
      <c r="G13" s="26"/>
    </row>
    <row r="14" spans="1:10" ht="15.75">
      <c r="B14" s="176" t="s">
        <v>27</v>
      </c>
      <c r="C14" s="48"/>
      <c r="D14" s="177" t="s">
        <v>350</v>
      </c>
      <c r="E14" s="177"/>
      <c r="F14" s="177"/>
      <c r="G14" s="26"/>
    </row>
    <row r="15" spans="1:10" ht="15.75">
      <c r="A15" s="26"/>
      <c r="B15" s="176" t="s">
        <v>26</v>
      </c>
      <c r="C15" s="48"/>
      <c r="D15" s="177" t="s">
        <v>343</v>
      </c>
      <c r="E15" s="177"/>
      <c r="F15" s="177"/>
      <c r="G15" s="26"/>
    </row>
    <row r="16" spans="1:10" ht="30.6" customHeight="1">
      <c r="B16" s="59"/>
      <c r="C16" s="59"/>
      <c r="D16" s="59"/>
      <c r="E16" s="59"/>
      <c r="F16" s="59"/>
      <c r="G16" s="26"/>
    </row>
    <row r="17" spans="1:7" ht="15.75">
      <c r="A17" s="60"/>
      <c r="B17" s="54" t="s">
        <v>28</v>
      </c>
      <c r="C17" s="55" t="s">
        <v>29</v>
      </c>
      <c r="D17" s="56" t="s">
        <v>1</v>
      </c>
      <c r="E17" s="56" t="s">
        <v>220</v>
      </c>
      <c r="F17" s="37"/>
      <c r="G17" s="57"/>
    </row>
    <row r="18" spans="1:7">
      <c r="B18" s="36"/>
      <c r="C18" s="36" t="s">
        <v>106</v>
      </c>
      <c r="D18" s="179">
        <v>151</v>
      </c>
      <c r="E18" s="36">
        <v>3</v>
      </c>
      <c r="F18" s="36"/>
      <c r="G18" s="26"/>
    </row>
    <row r="19" spans="1:7">
      <c r="B19" s="36"/>
      <c r="C19" s="36"/>
      <c r="E19" s="36"/>
      <c r="F19" s="36"/>
      <c r="G19" s="26"/>
    </row>
    <row r="20" spans="1:7">
      <c r="B20" s="36"/>
      <c r="C20" s="36"/>
      <c r="E20" s="36"/>
      <c r="F20" s="36" t="s">
        <v>326</v>
      </c>
      <c r="G20" s="180">
        <f>D18*E18</f>
        <v>453</v>
      </c>
    </row>
    <row r="21" spans="1:7">
      <c r="B21" s="36"/>
      <c r="C21" s="36"/>
      <c r="D21" s="36"/>
      <c r="E21" s="36"/>
      <c r="F21" s="36"/>
      <c r="G21" s="26"/>
    </row>
    <row r="22" spans="1:7" ht="15.75">
      <c r="B22" s="54" t="s">
        <v>224</v>
      </c>
      <c r="C22" s="55" t="s">
        <v>29</v>
      </c>
      <c r="D22" s="56" t="s">
        <v>1</v>
      </c>
      <c r="E22" s="56" t="s">
        <v>220</v>
      </c>
      <c r="F22" s="37"/>
      <c r="G22" s="26"/>
    </row>
    <row r="23" spans="1:7">
      <c r="B23" s="36"/>
      <c r="C23" s="36" t="s">
        <v>124</v>
      </c>
      <c r="D23" s="36">
        <v>90</v>
      </c>
      <c r="E23" s="36">
        <v>4</v>
      </c>
      <c r="F23" s="36"/>
      <c r="G23" s="26"/>
    </row>
    <row r="24" spans="1:7">
      <c r="B24" s="36"/>
      <c r="C24" s="36"/>
      <c r="D24" s="178"/>
      <c r="E24" s="181"/>
      <c r="F24" s="36"/>
      <c r="G24" s="26"/>
    </row>
    <row r="25" spans="1:7">
      <c r="A25" s="58"/>
      <c r="B25" s="58"/>
      <c r="C25" s="58"/>
      <c r="D25" s="58"/>
      <c r="E25" s="58"/>
      <c r="F25" s="58"/>
      <c r="G25" s="183">
        <f>PRODUCT(D23,E23)</f>
        <v>360</v>
      </c>
    </row>
    <row r="26" spans="1:7" ht="15" thickBot="1">
      <c r="B26" s="53"/>
      <c r="C26" s="53"/>
      <c r="D26" s="53"/>
      <c r="E26" s="53"/>
      <c r="F26" s="26"/>
      <c r="G26" s="26"/>
    </row>
    <row r="27" spans="1:7" ht="19.5" thickTop="1">
      <c r="B27" s="52" t="s">
        <v>95</v>
      </c>
      <c r="C27" s="26"/>
      <c r="D27" s="182">
        <f>SUM(G20,G25)</f>
        <v>813</v>
      </c>
      <c r="E27" s="47"/>
      <c r="F27" s="47"/>
      <c r="G27" s="26"/>
    </row>
    <row r="28" spans="1:7">
      <c r="B28" s="26"/>
      <c r="C28" s="26"/>
      <c r="D28" s="26"/>
      <c r="E28" s="26"/>
      <c r="F28" s="26"/>
      <c r="G28" s="26"/>
    </row>
    <row r="29" spans="1:7">
      <c r="B29" s="26"/>
      <c r="C29" s="26"/>
      <c r="D29" s="26"/>
      <c r="E29" s="26"/>
      <c r="F29" s="26"/>
      <c r="G29" s="26"/>
    </row>
    <row r="30" spans="1:7">
      <c r="B30" s="26"/>
      <c r="C30" s="26"/>
      <c r="D30" s="26"/>
      <c r="E30" s="26"/>
      <c r="F30" s="26"/>
      <c r="G30" s="26"/>
    </row>
    <row r="31" spans="1:7">
      <c r="B31" s="26"/>
      <c r="C31" s="26"/>
      <c r="D31" s="26"/>
      <c r="E31" s="26"/>
      <c r="F31" s="26"/>
      <c r="G31" s="26"/>
    </row>
  </sheetData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249977111117893"/>
  </sheetPr>
  <dimension ref="A2:P29"/>
  <sheetViews>
    <sheetView showGridLines="0" tabSelected="1" zoomScale="75" zoomScaleNormal="75" workbookViewId="0">
      <selection activeCell="P20" sqref="P20"/>
    </sheetView>
  </sheetViews>
  <sheetFormatPr baseColWidth="10" defaultRowHeight="14.25"/>
  <cols>
    <col min="5" max="5" width="12.5" customWidth="1"/>
    <col min="8" max="8" width="22.875" customWidth="1"/>
  </cols>
  <sheetData>
    <row r="2" spans="1:16" ht="39.6" customHeight="1"/>
    <row r="3" spans="1:16" ht="16.899999999999999" customHeight="1"/>
    <row r="4" spans="1:16" ht="15" thickBot="1">
      <c r="A4" s="61" t="s">
        <v>22</v>
      </c>
      <c r="B4" s="61" t="s">
        <v>222</v>
      </c>
      <c r="C4" s="61" t="s">
        <v>24</v>
      </c>
      <c r="D4" s="61" t="s">
        <v>25</v>
      </c>
      <c r="E4" s="61" t="s">
        <v>223</v>
      </c>
      <c r="F4" s="61" t="s">
        <v>27</v>
      </c>
      <c r="G4" s="61" t="s">
        <v>26</v>
      </c>
      <c r="H4" s="43" t="s">
        <v>28</v>
      </c>
      <c r="I4" s="43" t="s">
        <v>219</v>
      </c>
      <c r="J4" s="43" t="s">
        <v>220</v>
      </c>
      <c r="K4" s="62" t="s">
        <v>224</v>
      </c>
      <c r="L4" s="62" t="s">
        <v>1</v>
      </c>
      <c r="M4" s="62" t="s">
        <v>221</v>
      </c>
      <c r="N4" s="44" t="s">
        <v>30</v>
      </c>
      <c r="O4" s="44" t="s">
        <v>331</v>
      </c>
      <c r="P4" s="44" t="s">
        <v>240</v>
      </c>
    </row>
    <row r="5" spans="1:16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>
      <c r="A6" t="s">
        <v>231</v>
      </c>
      <c r="B6" t="s">
        <v>232</v>
      </c>
      <c r="D6" t="s">
        <v>233</v>
      </c>
      <c r="E6" t="s">
        <v>234</v>
      </c>
      <c r="F6" t="s">
        <v>235</v>
      </c>
      <c r="G6" t="s">
        <v>236</v>
      </c>
      <c r="H6" t="s">
        <v>107</v>
      </c>
      <c r="I6" t="s">
        <v>229</v>
      </c>
      <c r="J6">
        <v>1</v>
      </c>
    </row>
    <row r="7" spans="1:16">
      <c r="A7" t="s">
        <v>322</v>
      </c>
      <c r="B7" t="s">
        <v>323</v>
      </c>
      <c r="D7" t="s">
        <v>323</v>
      </c>
      <c r="E7" t="s">
        <v>323</v>
      </c>
      <c r="F7" t="s">
        <v>323</v>
      </c>
      <c r="G7" t="s">
        <v>324</v>
      </c>
      <c r="H7" t="s">
        <v>113</v>
      </c>
      <c r="I7" t="s">
        <v>325</v>
      </c>
      <c r="J7">
        <v>2</v>
      </c>
      <c r="N7">
        <v>1</v>
      </c>
      <c r="P7" s="174">
        <v>43858.690636574072</v>
      </c>
    </row>
    <row r="8" spans="1:16">
      <c r="A8" t="s">
        <v>328</v>
      </c>
      <c r="B8" t="s">
        <v>328</v>
      </c>
      <c r="D8" t="s">
        <v>328</v>
      </c>
      <c r="E8" t="s">
        <v>328</v>
      </c>
      <c r="F8" t="s">
        <v>328</v>
      </c>
      <c r="G8" t="s">
        <v>329</v>
      </c>
      <c r="H8" t="s">
        <v>114</v>
      </c>
      <c r="I8" t="s">
        <v>330</v>
      </c>
      <c r="J8">
        <v>2</v>
      </c>
      <c r="N8">
        <v>3</v>
      </c>
      <c r="P8" s="174"/>
    </row>
    <row r="9" spans="1:16">
      <c r="A9" t="s">
        <v>332</v>
      </c>
      <c r="B9" t="s">
        <v>332</v>
      </c>
      <c r="D9" t="s">
        <v>332</v>
      </c>
      <c r="E9" t="s">
        <v>332</v>
      </c>
      <c r="F9" t="s">
        <v>332</v>
      </c>
      <c r="G9" t="s">
        <v>332</v>
      </c>
      <c r="H9" t="s">
        <v>19</v>
      </c>
      <c r="I9" t="s">
        <v>333</v>
      </c>
      <c r="J9">
        <v>4</v>
      </c>
      <c r="K9" t="s">
        <v>213</v>
      </c>
      <c r="L9" t="s">
        <v>230</v>
      </c>
      <c r="M9">
        <v>2</v>
      </c>
      <c r="O9">
        <v>4</v>
      </c>
      <c r="P9" s="174"/>
    </row>
    <row r="10" spans="1:16">
      <c r="A10" t="s">
        <v>334</v>
      </c>
      <c r="B10" t="s">
        <v>332</v>
      </c>
      <c r="D10" t="s">
        <v>332</v>
      </c>
      <c r="E10" t="s">
        <v>332</v>
      </c>
      <c r="F10" t="s">
        <v>332</v>
      </c>
      <c r="G10" t="s">
        <v>332</v>
      </c>
      <c r="H10" t="s">
        <v>19</v>
      </c>
      <c r="I10" t="s">
        <v>333</v>
      </c>
      <c r="J10">
        <v>4</v>
      </c>
      <c r="O10">
        <v>5</v>
      </c>
      <c r="P10" s="174"/>
    </row>
    <row r="11" spans="1:16">
      <c r="A11" t="s">
        <v>334</v>
      </c>
      <c r="B11" t="s">
        <v>332</v>
      </c>
      <c r="D11" t="s">
        <v>332</v>
      </c>
      <c r="E11" t="s">
        <v>332</v>
      </c>
      <c r="F11" t="s">
        <v>332</v>
      </c>
      <c r="G11" t="s">
        <v>332</v>
      </c>
      <c r="H11" t="s">
        <v>19</v>
      </c>
      <c r="I11" t="s">
        <v>333</v>
      </c>
      <c r="J11">
        <v>4</v>
      </c>
      <c r="K11" t="s">
        <v>213</v>
      </c>
      <c r="L11" t="s">
        <v>230</v>
      </c>
      <c r="M11">
        <v>3</v>
      </c>
      <c r="O11">
        <v>6</v>
      </c>
      <c r="P11" s="174"/>
    </row>
    <row r="12" spans="1:16">
      <c r="A12" t="s">
        <v>335</v>
      </c>
      <c r="B12" t="s">
        <v>335</v>
      </c>
      <c r="D12" t="s">
        <v>335</v>
      </c>
      <c r="E12" t="s">
        <v>335</v>
      </c>
      <c r="F12" t="s">
        <v>335</v>
      </c>
      <c r="G12" t="s">
        <v>335</v>
      </c>
      <c r="H12" t="s">
        <v>108</v>
      </c>
      <c r="I12" t="s">
        <v>336</v>
      </c>
      <c r="J12">
        <v>2</v>
      </c>
      <c r="K12" t="s">
        <v>123</v>
      </c>
      <c r="L12" s="184">
        <v>25</v>
      </c>
      <c r="M12">
        <v>4</v>
      </c>
      <c r="N12">
        <f>SUM(PRODUCT(I12,J12),PRODUCT(L12,M12))</f>
        <v>102</v>
      </c>
      <c r="O12">
        <v>7</v>
      </c>
      <c r="P12" s="174"/>
    </row>
    <row r="13" spans="1:16">
      <c r="A13" t="s">
        <v>335</v>
      </c>
      <c r="B13" t="s">
        <v>335</v>
      </c>
      <c r="D13" t="s">
        <v>335</v>
      </c>
      <c r="E13" t="s">
        <v>335</v>
      </c>
      <c r="F13" t="s">
        <v>335</v>
      </c>
      <c r="G13" t="s">
        <v>335</v>
      </c>
      <c r="H13" t="s">
        <v>108</v>
      </c>
      <c r="I13" t="s">
        <v>336</v>
      </c>
      <c r="J13">
        <v>2</v>
      </c>
      <c r="N13">
        <f>SUM(PRODUCT(I13,J13),PRODUCT(L13,M13))</f>
        <v>2</v>
      </c>
      <c r="O13">
        <v>8</v>
      </c>
      <c r="P13" s="174"/>
    </row>
    <row r="14" spans="1:16">
      <c r="A14" t="s">
        <v>337</v>
      </c>
      <c r="B14" t="s">
        <v>323</v>
      </c>
      <c r="D14" t="s">
        <v>323</v>
      </c>
      <c r="E14" t="s">
        <v>323</v>
      </c>
      <c r="F14" t="s">
        <v>323</v>
      </c>
      <c r="G14" t="s">
        <v>323</v>
      </c>
      <c r="H14" t="s">
        <v>114</v>
      </c>
      <c r="I14" t="s">
        <v>330</v>
      </c>
      <c r="J14">
        <v>2</v>
      </c>
      <c r="K14" t="s">
        <v>213</v>
      </c>
      <c r="L14" t="s">
        <v>230</v>
      </c>
      <c r="M14">
        <v>2</v>
      </c>
      <c r="N14">
        <f>SUM(PRODUCT(I14,J14),PRODUCT(L14,M14))</f>
        <v>4</v>
      </c>
      <c r="O14">
        <v>9</v>
      </c>
      <c r="P14" s="174"/>
    </row>
    <row r="15" spans="1:16">
      <c r="A15" t="s">
        <v>323</v>
      </c>
      <c r="B15" t="s">
        <v>323</v>
      </c>
      <c r="D15" t="s">
        <v>323</v>
      </c>
      <c r="E15" t="s">
        <v>323</v>
      </c>
      <c r="F15" t="s">
        <v>323</v>
      </c>
      <c r="G15" t="s">
        <v>323</v>
      </c>
      <c r="H15" t="s">
        <v>113</v>
      </c>
      <c r="I15" t="s">
        <v>330</v>
      </c>
      <c r="J15">
        <v>2</v>
      </c>
      <c r="K15" t="s">
        <v>124</v>
      </c>
      <c r="L15" t="s">
        <v>230</v>
      </c>
      <c r="M15">
        <v>3</v>
      </c>
      <c r="O15">
        <v>10</v>
      </c>
    </row>
    <row r="16" spans="1:16">
      <c r="A16" t="s">
        <v>338</v>
      </c>
      <c r="B16" t="s">
        <v>339</v>
      </c>
      <c r="D16" t="s">
        <v>338</v>
      </c>
      <c r="E16" t="s">
        <v>338</v>
      </c>
      <c r="F16" t="s">
        <v>339</v>
      </c>
      <c r="G16" t="s">
        <v>339</v>
      </c>
      <c r="H16" t="s">
        <v>114</v>
      </c>
      <c r="I16" t="s">
        <v>330</v>
      </c>
      <c r="J16">
        <v>1</v>
      </c>
      <c r="K16" t="s">
        <v>124</v>
      </c>
      <c r="L16" t="s">
        <v>230</v>
      </c>
      <c r="M16">
        <v>1</v>
      </c>
      <c r="N16">
        <f>SUM(PRODUCT(I16,16),PRODUCT(L16,M16))</f>
        <v>17</v>
      </c>
      <c r="O16">
        <v>11</v>
      </c>
      <c r="P16" s="174"/>
    </row>
    <row r="17" spans="1:16">
      <c r="A17" t="s">
        <v>327</v>
      </c>
      <c r="B17" t="s">
        <v>327</v>
      </c>
      <c r="D17" t="s">
        <v>340</v>
      </c>
      <c r="E17" t="s">
        <v>340</v>
      </c>
      <c r="F17" t="s">
        <v>340</v>
      </c>
      <c r="G17" t="s">
        <v>340</v>
      </c>
      <c r="H17" t="s">
        <v>114</v>
      </c>
      <c r="I17" t="s">
        <v>330</v>
      </c>
      <c r="J17">
        <v>2</v>
      </c>
      <c r="O17">
        <v>12</v>
      </c>
    </row>
    <row r="18" spans="1:16">
      <c r="A18" t="s">
        <v>341</v>
      </c>
      <c r="B18" t="s">
        <v>341</v>
      </c>
      <c r="D18" t="s">
        <v>341</v>
      </c>
      <c r="E18" t="s">
        <v>341</v>
      </c>
      <c r="F18" t="s">
        <v>341</v>
      </c>
      <c r="G18" t="s">
        <v>341</v>
      </c>
      <c r="H18" t="s">
        <v>113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74"/>
    </row>
    <row r="19" spans="1:16">
      <c r="A19" t="s">
        <v>342</v>
      </c>
      <c r="B19" t="s">
        <v>343</v>
      </c>
      <c r="D19" t="s">
        <v>342</v>
      </c>
      <c r="E19" t="s">
        <v>344</v>
      </c>
      <c r="F19" t="s">
        <v>343</v>
      </c>
      <c r="G19" t="s">
        <v>345</v>
      </c>
      <c r="H19" t="s">
        <v>113</v>
      </c>
      <c r="I19" t="s">
        <v>330</v>
      </c>
      <c r="J19">
        <v>2</v>
      </c>
      <c r="K19" t="s">
        <v>124</v>
      </c>
      <c r="L19" t="s">
        <v>230</v>
      </c>
      <c r="M19">
        <v>3</v>
      </c>
      <c r="N19">
        <f t="shared" si="0"/>
        <v>5</v>
      </c>
      <c r="O19">
        <v>14</v>
      </c>
      <c r="P19" s="174"/>
    </row>
    <row r="20" spans="1:16">
      <c r="A20" t="s">
        <v>342</v>
      </c>
      <c r="B20" t="s">
        <v>343</v>
      </c>
      <c r="D20" t="s">
        <v>342</v>
      </c>
      <c r="E20" t="s">
        <v>344</v>
      </c>
      <c r="F20" t="s">
        <v>343</v>
      </c>
      <c r="G20" t="s">
        <v>345</v>
      </c>
      <c r="H20" t="s">
        <v>113</v>
      </c>
      <c r="I20" t="s">
        <v>330</v>
      </c>
      <c r="J20">
        <v>4</v>
      </c>
      <c r="N20">
        <f t="shared" si="0"/>
        <v>4</v>
      </c>
      <c r="O20">
        <v>15</v>
      </c>
      <c r="P20" s="174"/>
    </row>
    <row r="21" spans="1:16">
      <c r="A21" t="s">
        <v>346</v>
      </c>
      <c r="B21" t="s">
        <v>347</v>
      </c>
      <c r="D21" t="s">
        <v>346</v>
      </c>
      <c r="E21" t="s">
        <v>348</v>
      </c>
      <c r="F21" t="s">
        <v>349</v>
      </c>
      <c r="G21" t="s">
        <v>349</v>
      </c>
      <c r="H21" t="s">
        <v>113</v>
      </c>
      <c r="I21">
        <v>65</v>
      </c>
      <c r="J21">
        <v>2</v>
      </c>
      <c r="K21" t="s">
        <v>124</v>
      </c>
      <c r="L21">
        <v>25</v>
      </c>
      <c r="M21">
        <v>3</v>
      </c>
      <c r="N21">
        <f t="shared" si="0"/>
        <v>205</v>
      </c>
      <c r="O21">
        <v>16</v>
      </c>
      <c r="P21" s="174">
        <v>43859.340115740742</v>
      </c>
    </row>
    <row r="22" spans="1:16">
      <c r="A22" t="s">
        <v>343</v>
      </c>
      <c r="B22" t="s">
        <v>350</v>
      </c>
      <c r="D22" t="s">
        <v>351</v>
      </c>
      <c r="E22" t="s">
        <v>350</v>
      </c>
      <c r="F22" t="s">
        <v>350</v>
      </c>
      <c r="G22" t="s">
        <v>350</v>
      </c>
      <c r="H22" t="s">
        <v>19</v>
      </c>
      <c r="I22">
        <v>100</v>
      </c>
      <c r="J22">
        <v>2</v>
      </c>
      <c r="K22" t="s">
        <v>213</v>
      </c>
      <c r="L22">
        <v>25</v>
      </c>
      <c r="M22">
        <v>4</v>
      </c>
      <c r="N22">
        <f t="shared" si="0"/>
        <v>300</v>
      </c>
      <c r="O22">
        <v>17</v>
      </c>
      <c r="P22" s="174">
        <v>43859.348171296297</v>
      </c>
    </row>
    <row r="23" spans="1:16">
      <c r="A23" t="s">
        <v>352</v>
      </c>
      <c r="B23" t="s">
        <v>352</v>
      </c>
      <c r="D23" t="s">
        <v>353</v>
      </c>
      <c r="E23" t="s">
        <v>353</v>
      </c>
      <c r="F23" t="s">
        <v>352</v>
      </c>
      <c r="G23" t="s">
        <v>354</v>
      </c>
      <c r="H23" t="s">
        <v>111</v>
      </c>
      <c r="I23">
        <v>250</v>
      </c>
      <c r="J23">
        <v>4</v>
      </c>
      <c r="K23" t="s">
        <v>124</v>
      </c>
      <c r="L23">
        <v>25</v>
      </c>
      <c r="M23">
        <v>3</v>
      </c>
      <c r="N23">
        <f t="shared" si="0"/>
        <v>1075</v>
      </c>
      <c r="O23">
        <v>18</v>
      </c>
      <c r="P23" s="174">
        <v>43859.349340277775</v>
      </c>
    </row>
    <row r="24" spans="1:16">
      <c r="A24" t="s">
        <v>352</v>
      </c>
      <c r="B24" t="s">
        <v>352</v>
      </c>
      <c r="D24" t="s">
        <v>353</v>
      </c>
      <c r="E24" t="s">
        <v>353</v>
      </c>
      <c r="F24" t="s">
        <v>352</v>
      </c>
      <c r="G24" t="s">
        <v>354</v>
      </c>
      <c r="H24" t="s">
        <v>111</v>
      </c>
      <c r="I24">
        <v>250</v>
      </c>
      <c r="J24">
        <v>4</v>
      </c>
      <c r="K24" t="s">
        <v>124</v>
      </c>
      <c r="L24">
        <v>90</v>
      </c>
      <c r="M24">
        <v>2</v>
      </c>
      <c r="N24">
        <f t="shared" si="0"/>
        <v>1180</v>
      </c>
      <c r="O24">
        <v>19</v>
      </c>
      <c r="P24" s="174">
        <v>43859.354560185187</v>
      </c>
    </row>
    <row r="25" spans="1:16">
      <c r="A25" t="s">
        <v>352</v>
      </c>
      <c r="B25" t="s">
        <v>352</v>
      </c>
      <c r="D25" t="s">
        <v>353</v>
      </c>
      <c r="E25" t="s">
        <v>353</v>
      </c>
      <c r="F25" t="s">
        <v>352</v>
      </c>
      <c r="G25" t="s">
        <v>354</v>
      </c>
      <c r="H25" t="s">
        <v>111</v>
      </c>
      <c r="I25">
        <v>250</v>
      </c>
      <c r="J25">
        <v>4</v>
      </c>
      <c r="K25" t="s">
        <v>213</v>
      </c>
      <c r="L25">
        <v>75</v>
      </c>
      <c r="M25">
        <v>4</v>
      </c>
      <c r="N25">
        <f t="shared" si="0"/>
        <v>1300</v>
      </c>
      <c r="O25">
        <v>20</v>
      </c>
      <c r="P25" s="174">
        <v>43859.354861111111</v>
      </c>
    </row>
    <row r="26" spans="1:16">
      <c r="A26" t="s">
        <v>340</v>
      </c>
      <c r="B26" t="s">
        <v>340</v>
      </c>
      <c r="D26" t="s">
        <v>340</v>
      </c>
      <c r="E26" t="s">
        <v>340</v>
      </c>
      <c r="F26" t="s">
        <v>327</v>
      </c>
      <c r="G26" t="s">
        <v>340</v>
      </c>
      <c r="H26" t="s">
        <v>111</v>
      </c>
      <c r="I26">
        <v>300</v>
      </c>
      <c r="J26">
        <v>4</v>
      </c>
      <c r="N26">
        <f t="shared" si="0"/>
        <v>1200</v>
      </c>
      <c r="O26">
        <v>21</v>
      </c>
      <c r="P26" s="174">
        <v>43859.361724537041</v>
      </c>
    </row>
    <row r="27" spans="1:16">
      <c r="A27" t="s">
        <v>340</v>
      </c>
      <c r="B27" t="s">
        <v>340</v>
      </c>
      <c r="D27" t="s">
        <v>340</v>
      </c>
      <c r="E27" t="s">
        <v>340</v>
      </c>
      <c r="F27" t="s">
        <v>327</v>
      </c>
      <c r="G27" t="s">
        <v>340</v>
      </c>
      <c r="H27" t="s">
        <v>111</v>
      </c>
      <c r="I27">
        <v>300</v>
      </c>
      <c r="J27">
        <v>4</v>
      </c>
      <c r="K27" t="s">
        <v>124</v>
      </c>
      <c r="L27">
        <v>90</v>
      </c>
      <c r="M27">
        <v>2</v>
      </c>
      <c r="N27">
        <f t="shared" si="0"/>
        <v>1380</v>
      </c>
      <c r="O27">
        <v>22</v>
      </c>
      <c r="P27" s="174">
        <v>43859.362870370373</v>
      </c>
    </row>
    <row r="28" spans="1:16">
      <c r="A28" t="s">
        <v>355</v>
      </c>
      <c r="B28" t="s">
        <v>324</v>
      </c>
      <c r="D28" t="s">
        <v>356</v>
      </c>
      <c r="E28" t="s">
        <v>356</v>
      </c>
      <c r="F28" t="s">
        <v>357</v>
      </c>
      <c r="G28" t="s">
        <v>357</v>
      </c>
      <c r="H28" t="s">
        <v>113</v>
      </c>
      <c r="I28">
        <v>65</v>
      </c>
      <c r="J28">
        <v>2</v>
      </c>
      <c r="K28" t="s">
        <v>124</v>
      </c>
      <c r="L28">
        <v>90</v>
      </c>
      <c r="M28">
        <v>3</v>
      </c>
      <c r="N28">
        <f t="shared" si="0"/>
        <v>400</v>
      </c>
      <c r="O28">
        <v>23</v>
      </c>
      <c r="P28" s="174">
        <v>43859.370613425926</v>
      </c>
    </row>
    <row r="29" spans="1:16">
      <c r="A29" t="s">
        <v>350</v>
      </c>
      <c r="B29" t="s">
        <v>350</v>
      </c>
      <c r="D29" t="s">
        <v>350</v>
      </c>
      <c r="E29" t="s">
        <v>350</v>
      </c>
      <c r="F29" t="s">
        <v>350</v>
      </c>
      <c r="G29" t="s">
        <v>343</v>
      </c>
      <c r="H29" t="s">
        <v>106</v>
      </c>
      <c r="I29" s="196">
        <v>151</v>
      </c>
      <c r="J29">
        <v>3</v>
      </c>
      <c r="K29" t="s">
        <v>124</v>
      </c>
      <c r="L29" s="196">
        <v>90</v>
      </c>
      <c r="M29">
        <v>4</v>
      </c>
      <c r="N29" s="196">
        <f>SUM(PRODUCT(I29,J29),PRODUCT(L29,M29))</f>
        <v>813</v>
      </c>
      <c r="O29">
        <v>24</v>
      </c>
      <c r="P29" s="174">
        <v>43859.388842592591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B1:J27"/>
  <sheetViews>
    <sheetView showGridLines="0" workbookViewId="0">
      <selection activeCell="F29" sqref="F29"/>
    </sheetView>
  </sheetViews>
  <sheetFormatPr baseColWidth="10" defaultRowHeight="14.25"/>
  <sheetData>
    <row r="1" spans="2:10" ht="15" thickBot="1"/>
    <row r="2" spans="2:10">
      <c r="B2" s="23" t="s">
        <v>240</v>
      </c>
      <c r="C2" s="24"/>
      <c r="D2" s="25"/>
      <c r="E2" s="25"/>
      <c r="F2" s="25"/>
      <c r="G2" s="4"/>
      <c r="J2" t="s">
        <v>247</v>
      </c>
    </row>
    <row r="3" spans="2:10">
      <c r="B3" s="5"/>
      <c r="C3" s="26"/>
      <c r="D3" s="26"/>
      <c r="E3" s="26"/>
      <c r="F3" s="26"/>
      <c r="G3" s="3"/>
    </row>
    <row r="4" spans="2:10">
      <c r="B4" s="5"/>
      <c r="C4" s="26"/>
      <c r="D4" s="26"/>
      <c r="E4" s="26"/>
      <c r="F4" s="26"/>
      <c r="G4" s="3"/>
    </row>
    <row r="5" spans="2:10">
      <c r="B5" s="5" t="s">
        <v>245</v>
      </c>
      <c r="C5" s="26"/>
      <c r="D5" s="26"/>
      <c r="E5" s="26"/>
      <c r="F5" s="26"/>
      <c r="G5" s="3"/>
      <c r="J5" t="s">
        <v>101</v>
      </c>
    </row>
    <row r="6" spans="2:10">
      <c r="B6" s="5"/>
      <c r="C6" s="26"/>
      <c r="D6" s="26"/>
      <c r="E6" s="1" t="s">
        <v>239</v>
      </c>
      <c r="F6" s="1">
        <v>1</v>
      </c>
      <c r="G6" s="3"/>
    </row>
    <row r="7" spans="2:10">
      <c r="B7" s="5" t="s">
        <v>245</v>
      </c>
      <c r="C7" s="26"/>
      <c r="D7" s="26"/>
      <c r="E7" s="26"/>
      <c r="F7" s="26"/>
      <c r="G7" s="3"/>
    </row>
    <row r="8" spans="2:10">
      <c r="B8" s="5" t="s">
        <v>245</v>
      </c>
      <c r="C8" s="38" t="s">
        <v>241</v>
      </c>
      <c r="D8" s="39"/>
      <c r="E8" s="39"/>
      <c r="F8" s="40"/>
      <c r="G8" s="3"/>
    </row>
    <row r="9" spans="2:10">
      <c r="B9" s="5" t="s">
        <v>245</v>
      </c>
      <c r="C9" s="1" t="s">
        <v>22</v>
      </c>
      <c r="D9" s="186" t="s">
        <v>62</v>
      </c>
      <c r="E9" s="187"/>
      <c r="F9" s="188"/>
      <c r="G9" s="3"/>
    </row>
    <row r="10" spans="2:10">
      <c r="B10" s="5"/>
      <c r="C10" s="26"/>
      <c r="D10" s="26"/>
      <c r="E10" s="26"/>
      <c r="F10" s="26"/>
      <c r="G10" s="3"/>
    </row>
    <row r="11" spans="2:10">
      <c r="B11" s="5"/>
      <c r="C11" s="41" t="s">
        <v>242</v>
      </c>
      <c r="D11" s="41"/>
      <c r="E11" s="41"/>
      <c r="F11" s="41"/>
      <c r="G11" s="3"/>
      <c r="J11" t="s">
        <v>102</v>
      </c>
    </row>
    <row r="12" spans="2:10">
      <c r="B12" s="5"/>
      <c r="C12" s="34" t="s">
        <v>82</v>
      </c>
      <c r="D12" s="30" t="s">
        <v>120</v>
      </c>
      <c r="E12" s="30"/>
      <c r="F12" s="31"/>
      <c r="G12" s="3"/>
    </row>
    <row r="13" spans="2:10">
      <c r="B13" s="5"/>
      <c r="C13" s="35" t="s">
        <v>81</v>
      </c>
      <c r="D13" s="26" t="s">
        <v>48</v>
      </c>
      <c r="E13" s="26"/>
      <c r="F13" s="32"/>
      <c r="G13" s="3"/>
    </row>
    <row r="14" spans="2:10">
      <c r="B14" s="5"/>
      <c r="C14" s="8" t="s">
        <v>89</v>
      </c>
      <c r="D14" s="7" t="s">
        <v>86</v>
      </c>
      <c r="E14" s="7"/>
      <c r="F14" s="33"/>
      <c r="G14" s="3"/>
    </row>
    <row r="15" spans="2:10">
      <c r="B15" s="5"/>
      <c r="C15" s="26"/>
      <c r="D15" s="26"/>
      <c r="E15" s="26"/>
      <c r="F15" s="26"/>
      <c r="G15" s="3"/>
    </row>
    <row r="16" spans="2:10">
      <c r="B16" s="5"/>
      <c r="C16" s="26"/>
      <c r="D16" s="26"/>
      <c r="E16" s="26"/>
      <c r="F16" s="26"/>
      <c r="G16" s="3"/>
    </row>
    <row r="17" spans="2:10">
      <c r="B17" s="5"/>
      <c r="C17" s="38" t="s">
        <v>243</v>
      </c>
      <c r="D17" s="39"/>
      <c r="E17" s="39"/>
      <c r="F17" s="40"/>
      <c r="G17" s="3"/>
      <c r="J17" t="s">
        <v>103</v>
      </c>
    </row>
    <row r="18" spans="2:10">
      <c r="B18" s="5"/>
      <c r="C18" s="1" t="s">
        <v>96</v>
      </c>
      <c r="D18" s="186" t="s">
        <v>248</v>
      </c>
      <c r="E18" s="187"/>
      <c r="F18" s="188"/>
      <c r="G18" s="3"/>
    </row>
    <row r="19" spans="2:10">
      <c r="B19" s="5"/>
      <c r="C19" s="186"/>
      <c r="D19" s="187"/>
      <c r="E19" s="187"/>
      <c r="F19" s="188"/>
      <c r="G19" s="3"/>
    </row>
    <row r="20" spans="2:10">
      <c r="B20" s="5"/>
      <c r="C20" s="1" t="s">
        <v>244</v>
      </c>
      <c r="D20" s="186" t="e" cm="1">
        <f t="array" ref="D20">H+I€</f>
        <v>#NAME?</v>
      </c>
      <c r="E20" s="187"/>
      <c r="F20" s="188"/>
      <c r="G20" s="3"/>
    </row>
    <row r="21" spans="2:10">
      <c r="B21" s="5"/>
      <c r="C21" s="26" t="s">
        <v>252</v>
      </c>
      <c r="D21" s="26" t="s">
        <v>249</v>
      </c>
      <c r="E21" s="26"/>
      <c r="F21" s="26"/>
      <c r="G21" s="3"/>
    </row>
    <row r="22" spans="2:10">
      <c r="B22" s="5"/>
      <c r="C22" s="26"/>
      <c r="D22" s="26"/>
      <c r="E22" s="26"/>
      <c r="F22" s="26"/>
      <c r="G22" s="3"/>
    </row>
    <row r="23" spans="2:10">
      <c r="B23" s="5"/>
      <c r="C23" s="26"/>
      <c r="D23" s="26"/>
      <c r="E23" s="26"/>
      <c r="F23" s="26"/>
      <c r="G23" s="3"/>
    </row>
    <row r="24" spans="2:10">
      <c r="B24" s="5"/>
      <c r="C24" s="26"/>
      <c r="D24" s="26"/>
      <c r="E24" s="26"/>
      <c r="F24" s="26"/>
      <c r="G24" s="3"/>
    </row>
    <row r="25" spans="2:10">
      <c r="B25" s="5"/>
      <c r="C25" s="26"/>
      <c r="D25" s="26"/>
      <c r="E25" s="26"/>
      <c r="F25" s="26"/>
      <c r="G25" s="3"/>
    </row>
    <row r="26" spans="2:10">
      <c r="B26" s="5"/>
      <c r="C26" s="26"/>
      <c r="D26" s="26"/>
      <c r="E26" s="26"/>
      <c r="F26" s="26"/>
      <c r="G26" s="3"/>
    </row>
    <row r="27" spans="2:10" ht="15" thickBot="1">
      <c r="B27" s="27"/>
      <c r="C27" s="28"/>
      <c r="D27" s="28"/>
      <c r="E27" s="28"/>
      <c r="F27" s="28"/>
      <c r="G27" s="29"/>
    </row>
  </sheetData>
  <mergeCells count="4">
    <mergeCell ref="D20:F20"/>
    <mergeCell ref="D18:F18"/>
    <mergeCell ref="D9:F9"/>
    <mergeCell ref="C19:F1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M7"/>
  <sheetViews>
    <sheetView showGridLines="0" zoomScale="70" zoomScaleNormal="70" workbookViewId="0">
      <selection activeCell="C10" sqref="C10"/>
    </sheetView>
  </sheetViews>
  <sheetFormatPr baseColWidth="10" defaultRowHeight="14.25"/>
  <cols>
    <col min="5" max="5" width="15.5" customWidth="1"/>
    <col min="7" max="7" width="13.25" customWidth="1"/>
    <col min="9" max="9" width="11.625" customWidth="1"/>
    <col min="11" max="11" width="11.75" customWidth="1"/>
    <col min="14" max="14" width="21.375" customWidth="1"/>
  </cols>
  <sheetData>
    <row r="2" spans="1:13" ht="39.6" customHeight="1"/>
    <row r="3" spans="1:13" ht="15" thickBot="1"/>
    <row r="4" spans="1:13" ht="15" thickBot="1">
      <c r="A4" s="63" t="s">
        <v>38</v>
      </c>
      <c r="B4" s="64"/>
      <c r="C4" s="65"/>
      <c r="D4" s="68" t="s">
        <v>39</v>
      </c>
      <c r="E4" s="69"/>
      <c r="F4" s="70"/>
      <c r="G4" s="72" t="s">
        <v>40</v>
      </c>
      <c r="H4" s="73"/>
      <c r="I4" s="73"/>
      <c r="J4" s="76" t="s">
        <v>41</v>
      </c>
      <c r="K4" s="77"/>
      <c r="L4" s="80" t="s">
        <v>21</v>
      </c>
      <c r="M4" s="81"/>
    </row>
    <row r="5" spans="1:13" ht="15" thickBot="1">
      <c r="A5" s="66" t="s">
        <v>42</v>
      </c>
      <c r="B5" s="66" t="s">
        <v>90</v>
      </c>
      <c r="C5" s="67" t="s">
        <v>43</v>
      </c>
      <c r="D5" s="71" t="s">
        <v>44</v>
      </c>
      <c r="E5" s="71" t="s">
        <v>98</v>
      </c>
      <c r="F5" s="71" t="s">
        <v>45</v>
      </c>
      <c r="G5" s="74" t="s">
        <v>91</v>
      </c>
      <c r="H5" s="74" t="s">
        <v>92</v>
      </c>
      <c r="I5" s="75" t="s">
        <v>93</v>
      </c>
      <c r="J5" s="78" t="s">
        <v>46</v>
      </c>
      <c r="K5" s="79" t="s">
        <v>97</v>
      </c>
      <c r="L5" s="82" t="s">
        <v>239</v>
      </c>
      <c r="M5" s="83" t="s">
        <v>240</v>
      </c>
    </row>
    <row r="6" spans="1:13">
      <c r="A6" t="s">
        <v>47</v>
      </c>
      <c r="B6" t="s">
        <v>57</v>
      </c>
      <c r="C6" t="s">
        <v>118</v>
      </c>
      <c r="D6" t="s">
        <v>83</v>
      </c>
      <c r="E6" t="s">
        <v>100</v>
      </c>
      <c r="G6">
        <v>600</v>
      </c>
      <c r="H6">
        <v>200</v>
      </c>
      <c r="I6">
        <v>75</v>
      </c>
      <c r="J6" t="s">
        <v>245</v>
      </c>
      <c r="K6" t="s">
        <v>104</v>
      </c>
      <c r="L6">
        <v>1</v>
      </c>
    </row>
    <row r="7" spans="1:13">
      <c r="A7" t="s">
        <v>62</v>
      </c>
      <c r="B7" t="s">
        <v>48</v>
      </c>
      <c r="C7" t="s">
        <v>120</v>
      </c>
      <c r="D7" t="s">
        <v>86</v>
      </c>
      <c r="E7" t="s">
        <v>250</v>
      </c>
      <c r="G7">
        <v>700</v>
      </c>
      <c r="H7">
        <v>400</v>
      </c>
      <c r="I7">
        <v>200</v>
      </c>
      <c r="J7" t="s">
        <v>249</v>
      </c>
      <c r="K7" t="s">
        <v>251</v>
      </c>
      <c r="L7"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theme="4" tint="-0.249977111117893"/>
  </sheetPr>
  <dimension ref="A2:I17"/>
  <sheetViews>
    <sheetView showGridLines="0" zoomScale="70" zoomScaleNormal="70" workbookViewId="0">
      <selection activeCell="F24" sqref="F24"/>
    </sheetView>
  </sheetViews>
  <sheetFormatPr baseColWidth="10" defaultRowHeight="14.25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/>
    <row r="4" spans="1:9">
      <c r="A4" s="120" t="s">
        <v>0</v>
      </c>
      <c r="B4" s="121" t="s">
        <v>1</v>
      </c>
      <c r="C4" s="121" t="s">
        <v>2</v>
      </c>
      <c r="D4" s="121" t="s">
        <v>3</v>
      </c>
      <c r="E4" s="121" t="s">
        <v>4</v>
      </c>
      <c r="F4" s="121" t="s">
        <v>5</v>
      </c>
      <c r="G4" s="121" t="s">
        <v>115</v>
      </c>
      <c r="H4" s="121" t="s">
        <v>121</v>
      </c>
      <c r="I4" s="122" t="s">
        <v>253</v>
      </c>
    </row>
    <row r="5" spans="1:9">
      <c r="A5" s="123" t="s">
        <v>112</v>
      </c>
      <c r="B5" s="124">
        <v>65</v>
      </c>
      <c r="C5" s="125">
        <v>100</v>
      </c>
      <c r="D5" s="125"/>
      <c r="E5" s="126">
        <v>2</v>
      </c>
      <c r="F5" s="125">
        <f t="shared" ref="F5:F16" si="0">C5-E5</f>
        <v>98</v>
      </c>
      <c r="G5" s="125" t="s">
        <v>116</v>
      </c>
      <c r="H5" s="125" t="str">
        <f>IF(G5="Oui",(VLOOKUP(C5,$C$5:$G$16,1,FALSE)),"")</f>
        <v/>
      </c>
      <c r="I5" s="127">
        <f t="shared" ref="I5:I16" si="1">B5*E5</f>
        <v>130</v>
      </c>
    </row>
    <row r="6" spans="1:9">
      <c r="A6" s="128" t="s">
        <v>113</v>
      </c>
      <c r="B6" s="129">
        <v>65</v>
      </c>
      <c r="C6" s="130">
        <v>100</v>
      </c>
      <c r="D6" s="130" t="s">
        <v>6</v>
      </c>
      <c r="E6" s="126">
        <v>16</v>
      </c>
      <c r="F6" s="130">
        <f t="shared" si="0"/>
        <v>84</v>
      </c>
      <c r="G6" s="130" t="s">
        <v>117</v>
      </c>
      <c r="H6" s="130">
        <f t="shared" ref="H6:H16" si="2">IF(G6="Oui",(VLOOKUP(C6,$C$5:$G$16,1,FALSE)),"")</f>
        <v>100</v>
      </c>
      <c r="I6" s="131">
        <f t="shared" si="1"/>
        <v>1040</v>
      </c>
    </row>
    <row r="7" spans="1:9">
      <c r="A7" s="123" t="s">
        <v>114</v>
      </c>
      <c r="B7" s="124">
        <v>65</v>
      </c>
      <c r="C7" s="125">
        <v>100</v>
      </c>
      <c r="D7" s="125" t="s">
        <v>7</v>
      </c>
      <c r="E7" s="126">
        <v>5</v>
      </c>
      <c r="F7" s="125">
        <f t="shared" si="0"/>
        <v>95</v>
      </c>
      <c r="G7" s="125" t="s">
        <v>116</v>
      </c>
      <c r="H7" s="125" t="str">
        <f t="shared" si="2"/>
        <v/>
      </c>
      <c r="I7" s="127">
        <f t="shared" si="1"/>
        <v>325</v>
      </c>
    </row>
    <row r="8" spans="1:9">
      <c r="A8" s="128" t="s">
        <v>106</v>
      </c>
      <c r="B8" s="129">
        <v>151</v>
      </c>
      <c r="C8" s="130">
        <v>50</v>
      </c>
      <c r="D8" s="130" t="s">
        <v>8</v>
      </c>
      <c r="E8" s="126">
        <v>3</v>
      </c>
      <c r="F8" s="130">
        <f t="shared" si="0"/>
        <v>47</v>
      </c>
      <c r="G8" s="130" t="s">
        <v>117</v>
      </c>
      <c r="H8" s="130">
        <f t="shared" si="2"/>
        <v>50</v>
      </c>
      <c r="I8" s="131">
        <f t="shared" si="1"/>
        <v>453</v>
      </c>
    </row>
    <row r="9" spans="1:9">
      <c r="A9" s="123" t="s">
        <v>107</v>
      </c>
      <c r="B9" s="124">
        <v>151</v>
      </c>
      <c r="C9" s="125">
        <v>50</v>
      </c>
      <c r="D9" s="125" t="s">
        <v>9</v>
      </c>
      <c r="E9" s="126"/>
      <c r="F9" s="125">
        <f t="shared" si="0"/>
        <v>50</v>
      </c>
      <c r="G9" s="125" t="s">
        <v>117</v>
      </c>
      <c r="H9" s="125">
        <f t="shared" si="2"/>
        <v>50</v>
      </c>
      <c r="I9" s="127">
        <f t="shared" si="1"/>
        <v>0</v>
      </c>
    </row>
    <row r="10" spans="1:9">
      <c r="A10" s="128" t="s">
        <v>108</v>
      </c>
      <c r="B10" s="129">
        <v>181</v>
      </c>
      <c r="C10" s="130">
        <v>10</v>
      </c>
      <c r="D10" s="130" t="s">
        <v>10</v>
      </c>
      <c r="E10" s="126">
        <v>4</v>
      </c>
      <c r="F10" s="130">
        <f t="shared" si="0"/>
        <v>6</v>
      </c>
      <c r="G10" s="130" t="s">
        <v>117</v>
      </c>
      <c r="H10" s="130">
        <f t="shared" si="2"/>
        <v>10</v>
      </c>
      <c r="I10" s="131">
        <f t="shared" si="1"/>
        <v>724</v>
      </c>
    </row>
    <row r="11" spans="1:9">
      <c r="A11" s="123" t="s">
        <v>18</v>
      </c>
      <c r="B11" s="124">
        <v>100</v>
      </c>
      <c r="C11" s="125">
        <v>20</v>
      </c>
      <c r="D11" s="125" t="s">
        <v>11</v>
      </c>
      <c r="E11" s="126"/>
      <c r="F11" s="125">
        <f t="shared" si="0"/>
        <v>20</v>
      </c>
      <c r="G11" s="125" t="s">
        <v>116</v>
      </c>
      <c r="H11" s="125" t="str">
        <f t="shared" si="2"/>
        <v/>
      </c>
      <c r="I11" s="127">
        <f t="shared" si="1"/>
        <v>0</v>
      </c>
    </row>
    <row r="12" spans="1:9">
      <c r="A12" s="128" t="s">
        <v>19</v>
      </c>
      <c r="B12" s="129">
        <v>100</v>
      </c>
      <c r="C12" s="130">
        <v>20</v>
      </c>
      <c r="D12" s="130" t="s">
        <v>12</v>
      </c>
      <c r="E12" s="126">
        <v>14</v>
      </c>
      <c r="F12" s="130">
        <f t="shared" si="0"/>
        <v>6</v>
      </c>
      <c r="G12" s="130" t="s">
        <v>116</v>
      </c>
      <c r="H12" s="130" t="str">
        <f t="shared" si="2"/>
        <v/>
      </c>
      <c r="I12" s="131">
        <f t="shared" si="1"/>
        <v>1400</v>
      </c>
    </row>
    <row r="13" spans="1:9">
      <c r="A13" s="123" t="s">
        <v>20</v>
      </c>
      <c r="B13" s="124">
        <v>100</v>
      </c>
      <c r="C13" s="125">
        <v>20</v>
      </c>
      <c r="D13" s="125" t="s">
        <v>13</v>
      </c>
      <c r="E13" s="126"/>
      <c r="F13" s="125">
        <f t="shared" si="0"/>
        <v>20</v>
      </c>
      <c r="G13" s="125" t="s">
        <v>116</v>
      </c>
      <c r="H13" s="125" t="str">
        <f t="shared" si="2"/>
        <v/>
      </c>
      <c r="I13" s="127">
        <f t="shared" si="1"/>
        <v>0</v>
      </c>
    </row>
    <row r="14" spans="1:9">
      <c r="A14" s="128" t="s">
        <v>109</v>
      </c>
      <c r="B14" s="129">
        <v>250</v>
      </c>
      <c r="C14" s="130">
        <v>10</v>
      </c>
      <c r="D14" s="130" t="s">
        <v>14</v>
      </c>
      <c r="E14" s="126"/>
      <c r="F14" s="130">
        <f t="shared" si="0"/>
        <v>10</v>
      </c>
      <c r="G14" s="130" t="s">
        <v>117</v>
      </c>
      <c r="H14" s="130">
        <f t="shared" si="2"/>
        <v>10</v>
      </c>
      <c r="I14" s="131">
        <f t="shared" si="1"/>
        <v>0</v>
      </c>
    </row>
    <row r="15" spans="1:9">
      <c r="A15" s="123" t="s">
        <v>110</v>
      </c>
      <c r="B15" s="124">
        <v>250</v>
      </c>
      <c r="C15" s="125">
        <v>10</v>
      </c>
      <c r="D15" s="125" t="s">
        <v>15</v>
      </c>
      <c r="E15" s="126">
        <v>12</v>
      </c>
      <c r="F15" s="125">
        <f t="shared" si="0"/>
        <v>-2</v>
      </c>
      <c r="G15" s="125" t="s">
        <v>117</v>
      </c>
      <c r="H15" s="125">
        <f t="shared" si="2"/>
        <v>10</v>
      </c>
      <c r="I15" s="127">
        <f t="shared" si="1"/>
        <v>3000</v>
      </c>
    </row>
    <row r="16" spans="1:9">
      <c r="A16" s="128" t="s">
        <v>111</v>
      </c>
      <c r="B16" s="129">
        <v>300</v>
      </c>
      <c r="C16" s="130">
        <v>5</v>
      </c>
      <c r="D16" s="130" t="s">
        <v>17</v>
      </c>
      <c r="E16" s="126">
        <v>9</v>
      </c>
      <c r="F16" s="130">
        <f t="shared" si="0"/>
        <v>-4</v>
      </c>
      <c r="G16" s="130" t="s">
        <v>117</v>
      </c>
      <c r="H16" s="130">
        <f t="shared" si="2"/>
        <v>5</v>
      </c>
      <c r="I16" s="131">
        <f t="shared" si="1"/>
        <v>2700</v>
      </c>
    </row>
    <row r="17" spans="2:9">
      <c r="B17" s="90">
        <f>B5*C5+B6*C6+C7*B7+B8*C8+C9*B9+B10*C10+C11*B11+B12*C12+C13*B13+B14*C14+C15*B15+C16*B16</f>
        <v>48910</v>
      </c>
      <c r="C17" s="91">
        <f>SUM(C5:C16)</f>
        <v>495</v>
      </c>
      <c r="H17" s="91">
        <f>SUM(H5:H16)</f>
        <v>235</v>
      </c>
      <c r="I17" s="90">
        <f>SUM(I5:I16)</f>
        <v>9772</v>
      </c>
    </row>
  </sheetData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theme="4" tint="-0.249977111117893"/>
  </sheetPr>
  <dimension ref="A1:L61"/>
  <sheetViews>
    <sheetView showGridLines="0" zoomScale="85" zoomScaleNormal="85" workbookViewId="0">
      <selection activeCell="G19" sqref="G19"/>
    </sheetView>
  </sheetViews>
  <sheetFormatPr baseColWidth="10" defaultRowHeight="14.25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>
      <c r="I1" s="108" t="s">
        <v>212</v>
      </c>
      <c r="J1" s="108"/>
      <c r="K1" s="108"/>
      <c r="L1" s="108"/>
    </row>
    <row r="2" spans="1:12" ht="53.45" customHeight="1">
      <c r="I2" s="106" t="s">
        <v>124</v>
      </c>
      <c r="J2" s="106"/>
      <c r="K2" s="107" t="s">
        <v>213</v>
      </c>
      <c r="L2" s="106"/>
    </row>
    <row r="3" spans="1:12" ht="14.45" customHeight="1">
      <c r="I3" s="91" t="s">
        <v>2</v>
      </c>
      <c r="J3" s="91" t="s">
        <v>127</v>
      </c>
      <c r="K3" s="91" t="s">
        <v>2</v>
      </c>
      <c r="L3" s="91" t="s">
        <v>127</v>
      </c>
    </row>
    <row r="4" spans="1:12">
      <c r="A4" s="94" t="s">
        <v>122</v>
      </c>
      <c r="B4" s="91" t="s">
        <v>1</v>
      </c>
      <c r="C4" s="91" t="s">
        <v>225</v>
      </c>
      <c r="D4" s="91" t="s">
        <v>226</v>
      </c>
      <c r="E4" s="95" t="s">
        <v>228</v>
      </c>
      <c r="F4" s="96" t="s">
        <v>227</v>
      </c>
      <c r="I4" s="1" t="s">
        <v>134</v>
      </c>
      <c r="J4" s="2"/>
      <c r="K4" s="1" t="s">
        <v>141</v>
      </c>
      <c r="L4" s="2"/>
    </row>
    <row r="5" spans="1:12">
      <c r="A5" s="6" t="s">
        <v>123</v>
      </c>
      <c r="B5" s="10">
        <v>25</v>
      </c>
      <c r="C5" s="1">
        <f>B10+B11</f>
        <v>170</v>
      </c>
      <c r="D5" s="2">
        <v>3</v>
      </c>
      <c r="E5" s="22">
        <f>C5-D5</f>
        <v>167</v>
      </c>
      <c r="F5" s="84">
        <f>B5*D5</f>
        <v>75</v>
      </c>
      <c r="I5" s="9" t="s">
        <v>135</v>
      </c>
      <c r="J5" s="2"/>
      <c r="K5" s="1" t="s">
        <v>142</v>
      </c>
      <c r="L5" s="2"/>
    </row>
    <row r="6" spans="1:12">
      <c r="A6" s="6" t="s">
        <v>124</v>
      </c>
      <c r="B6" s="10">
        <v>90</v>
      </c>
      <c r="C6" s="1">
        <f>B12</f>
        <v>20</v>
      </c>
      <c r="D6" s="2">
        <v>11</v>
      </c>
      <c r="E6" s="22">
        <f>C6-D6</f>
        <v>9</v>
      </c>
      <c r="F6" s="84">
        <f t="shared" ref="F6:F7" si="0">B6*D6</f>
        <v>990</v>
      </c>
      <c r="I6" s="1" t="s">
        <v>136</v>
      </c>
      <c r="J6" s="2"/>
      <c r="K6" s="1" t="s">
        <v>143</v>
      </c>
      <c r="L6" s="2"/>
    </row>
    <row r="7" spans="1:12">
      <c r="A7" s="31" t="s">
        <v>213</v>
      </c>
      <c r="B7" s="92">
        <v>75</v>
      </c>
      <c r="C7" s="34">
        <f>B13</f>
        <v>45</v>
      </c>
      <c r="D7" s="85">
        <v>4</v>
      </c>
      <c r="E7" s="93">
        <f>C7-D7</f>
        <v>41</v>
      </c>
      <c r="F7" s="86">
        <f t="shared" si="0"/>
        <v>300</v>
      </c>
      <c r="I7" s="1" t="s">
        <v>137</v>
      </c>
      <c r="J7" s="2"/>
      <c r="K7" s="1" t="s">
        <v>144</v>
      </c>
      <c r="L7" s="2"/>
    </row>
    <row r="8" spans="1:12" ht="18.600000000000001" customHeight="1">
      <c r="I8" s="9" t="s">
        <v>138</v>
      </c>
      <c r="J8" s="2"/>
      <c r="K8" s="1" t="s">
        <v>145</v>
      </c>
      <c r="L8" s="2"/>
    </row>
    <row r="9" spans="1:12">
      <c r="A9" s="87" t="s">
        <v>122</v>
      </c>
      <c r="B9" s="88" t="s">
        <v>126</v>
      </c>
      <c r="C9" s="88" t="s">
        <v>127</v>
      </c>
      <c r="D9" s="88" t="s">
        <v>128</v>
      </c>
      <c r="E9" s="89" t="s">
        <v>218</v>
      </c>
      <c r="I9" s="1" t="s">
        <v>139</v>
      </c>
      <c r="J9" s="2"/>
      <c r="K9" s="1" t="s">
        <v>146</v>
      </c>
      <c r="L9" s="2"/>
    </row>
    <row r="10" spans="1:12">
      <c r="A10" s="6" t="s">
        <v>214</v>
      </c>
      <c r="B10" s="1">
        <v>85</v>
      </c>
      <c r="C10" s="2">
        <f t="shared" ref="C10:C11" si="1">D5/2</f>
        <v>1.5</v>
      </c>
      <c r="D10" s="10">
        <v>25</v>
      </c>
      <c r="E10" s="84">
        <f>D10*C10</f>
        <v>37.5</v>
      </c>
      <c r="I10" s="20" t="s">
        <v>140</v>
      </c>
      <c r="J10" s="21"/>
      <c r="K10" s="20" t="s">
        <v>147</v>
      </c>
      <c r="L10" s="21"/>
    </row>
    <row r="11" spans="1:12">
      <c r="A11" s="6" t="s">
        <v>215</v>
      </c>
      <c r="B11" s="1">
        <v>85</v>
      </c>
      <c r="C11" s="2">
        <f t="shared" si="1"/>
        <v>5.5</v>
      </c>
      <c r="D11" s="10">
        <v>25</v>
      </c>
      <c r="E11" s="84">
        <f>D11*C11</f>
        <v>137.5</v>
      </c>
      <c r="I11" s="9" t="s">
        <v>199</v>
      </c>
      <c r="J11" s="2"/>
      <c r="K11" s="1" t="s">
        <v>148</v>
      </c>
      <c r="L11" s="2"/>
    </row>
    <row r="12" spans="1:12">
      <c r="A12" s="6" t="s">
        <v>124</v>
      </c>
      <c r="B12" s="1">
        <v>20</v>
      </c>
      <c r="C12" s="2">
        <f>D6</f>
        <v>11</v>
      </c>
      <c r="D12" s="10">
        <v>90</v>
      </c>
      <c r="E12" s="97">
        <f>D12*C12</f>
        <v>990</v>
      </c>
      <c r="I12" s="1" t="s">
        <v>200</v>
      </c>
      <c r="J12" s="2"/>
      <c r="K12" s="1" t="s">
        <v>149</v>
      </c>
      <c r="L12" s="2"/>
    </row>
    <row r="13" spans="1:12">
      <c r="A13" s="31" t="s">
        <v>213</v>
      </c>
      <c r="B13" s="31">
        <f>B20-B12</f>
        <v>45</v>
      </c>
      <c r="C13" s="85">
        <f>D7</f>
        <v>4</v>
      </c>
      <c r="D13" s="31">
        <v>75</v>
      </c>
      <c r="E13" s="84">
        <f>D13*C13</f>
        <v>300</v>
      </c>
      <c r="I13" s="1" t="s">
        <v>201</v>
      </c>
      <c r="J13" s="2"/>
      <c r="K13" s="1" t="s">
        <v>150</v>
      </c>
      <c r="L13" s="2"/>
    </row>
    <row r="14" spans="1:12">
      <c r="A14" s="91" t="s">
        <v>125</v>
      </c>
      <c r="B14" s="91">
        <f>Billet!H17</f>
        <v>235</v>
      </c>
      <c r="D14" s="90">
        <f>B10*D10+D12*B12+B13*D13</f>
        <v>7300</v>
      </c>
      <c r="E14" s="90">
        <f>C10*E10+E12*C12+C13*E13</f>
        <v>12146.25</v>
      </c>
      <c r="I14" s="9" t="s">
        <v>202</v>
      </c>
      <c r="J14" s="2"/>
      <c r="K14" s="1" t="s">
        <v>151</v>
      </c>
      <c r="L14" s="2"/>
    </row>
    <row r="15" spans="1:12">
      <c r="I15" s="1" t="s">
        <v>203</v>
      </c>
      <c r="J15" s="2"/>
      <c r="K15" s="1" t="s">
        <v>152</v>
      </c>
      <c r="L15" s="2"/>
    </row>
    <row r="16" spans="1:12">
      <c r="I16" s="1" t="s">
        <v>204</v>
      </c>
      <c r="J16" s="2"/>
      <c r="K16" s="1" t="s">
        <v>153</v>
      </c>
      <c r="L16" s="2"/>
    </row>
    <row r="17" spans="1:12" s="19" customFormat="1">
      <c r="A17" s="98" t="s">
        <v>217</v>
      </c>
      <c r="B17" s="98" t="s">
        <v>132</v>
      </c>
      <c r="C17" s="98" t="s">
        <v>127</v>
      </c>
      <c r="D17" s="98" t="s">
        <v>228</v>
      </c>
      <c r="E17" s="99" t="s">
        <v>216</v>
      </c>
      <c r="I17" s="9" t="s">
        <v>205</v>
      </c>
      <c r="J17" s="2"/>
      <c r="K17" s="1" t="s">
        <v>154</v>
      </c>
      <c r="L17" s="2"/>
    </row>
    <row r="18" spans="1:12">
      <c r="A18" s="100" t="s">
        <v>129</v>
      </c>
      <c r="B18" s="102">
        <f>B10</f>
        <v>85</v>
      </c>
      <c r="C18" s="2">
        <f>C10</f>
        <v>1.5</v>
      </c>
      <c r="D18" s="102">
        <f>B18-C18</f>
        <v>83.5</v>
      </c>
      <c r="E18" s="101">
        <f>E10</f>
        <v>37.5</v>
      </c>
      <c r="I18" s="1" t="s">
        <v>206</v>
      </c>
      <c r="J18" s="2"/>
      <c r="K18" s="1" t="s">
        <v>155</v>
      </c>
      <c r="L18" s="2"/>
    </row>
    <row r="19" spans="1:12">
      <c r="A19" s="103" t="s">
        <v>130</v>
      </c>
      <c r="B19" s="105">
        <f>B11</f>
        <v>85</v>
      </c>
      <c r="C19" s="2">
        <f>C11</f>
        <v>5.5</v>
      </c>
      <c r="D19" s="105">
        <f>B19-C19</f>
        <v>79.5</v>
      </c>
      <c r="E19" s="104">
        <f>E11</f>
        <v>137.5</v>
      </c>
      <c r="I19" s="1" t="s">
        <v>207</v>
      </c>
      <c r="J19" s="2"/>
      <c r="K19" s="1" t="s">
        <v>156</v>
      </c>
      <c r="L19" s="2"/>
    </row>
    <row r="20" spans="1:12">
      <c r="A20" s="100" t="s">
        <v>131</v>
      </c>
      <c r="B20" s="102">
        <v>65</v>
      </c>
      <c r="C20" s="2">
        <f>C12+C13</f>
        <v>15</v>
      </c>
      <c r="D20" s="102">
        <f>B20-C20</f>
        <v>50</v>
      </c>
      <c r="E20" s="101">
        <f>E12+E13</f>
        <v>1290</v>
      </c>
      <c r="I20" s="9" t="s">
        <v>208</v>
      </c>
      <c r="J20" s="2"/>
      <c r="K20" s="1" t="s">
        <v>157</v>
      </c>
      <c r="L20" s="2"/>
    </row>
    <row r="21" spans="1:12">
      <c r="I21" s="1" t="s">
        <v>209</v>
      </c>
      <c r="J21" s="2"/>
      <c r="K21" s="1" t="s">
        <v>158</v>
      </c>
      <c r="L21" s="2"/>
    </row>
    <row r="22" spans="1:12">
      <c r="I22" s="1" t="s">
        <v>210</v>
      </c>
      <c r="J22" s="2"/>
      <c r="K22" s="1" t="s">
        <v>159</v>
      </c>
      <c r="L22" s="2"/>
    </row>
    <row r="23" spans="1:12">
      <c r="I23" s="9" t="s">
        <v>211</v>
      </c>
      <c r="J23" s="2"/>
      <c r="K23" s="1" t="s">
        <v>160</v>
      </c>
      <c r="L23" s="2"/>
    </row>
    <row r="24" spans="1:12">
      <c r="K24" s="1" t="s">
        <v>161</v>
      </c>
      <c r="L24" s="2"/>
    </row>
    <row r="25" spans="1:12">
      <c r="K25" s="1" t="s">
        <v>162</v>
      </c>
      <c r="L25" s="2"/>
    </row>
    <row r="26" spans="1:12">
      <c r="K26" s="1" t="s">
        <v>163</v>
      </c>
      <c r="L26" s="2"/>
    </row>
    <row r="27" spans="1:12">
      <c r="K27" s="1" t="s">
        <v>164</v>
      </c>
      <c r="L27" s="2"/>
    </row>
    <row r="28" spans="1:12">
      <c r="K28" s="1" t="s">
        <v>165</v>
      </c>
      <c r="L28" s="2"/>
    </row>
    <row r="29" spans="1:12">
      <c r="K29" s="1" t="s">
        <v>166</v>
      </c>
      <c r="L29" s="2"/>
    </row>
    <row r="30" spans="1:12">
      <c r="K30" s="1" t="s">
        <v>167</v>
      </c>
      <c r="L30" s="2"/>
    </row>
    <row r="31" spans="1:12">
      <c r="K31" s="1" t="s">
        <v>168</v>
      </c>
      <c r="L31" s="2"/>
    </row>
    <row r="32" spans="1:12">
      <c r="K32" s="1" t="s">
        <v>169</v>
      </c>
      <c r="L32" s="2"/>
    </row>
    <row r="33" spans="11:12">
      <c r="K33" s="1" t="s">
        <v>170</v>
      </c>
      <c r="L33" s="2"/>
    </row>
    <row r="34" spans="11:12">
      <c r="K34" s="1" t="s">
        <v>171</v>
      </c>
      <c r="L34" s="2"/>
    </row>
    <row r="35" spans="11:12">
      <c r="K35" s="1" t="s">
        <v>172</v>
      </c>
      <c r="L35" s="2"/>
    </row>
    <row r="36" spans="11:12">
      <c r="K36" s="1" t="s">
        <v>173</v>
      </c>
      <c r="L36" s="2"/>
    </row>
    <row r="37" spans="11:12">
      <c r="K37" s="1" t="s">
        <v>174</v>
      </c>
      <c r="L37" s="2"/>
    </row>
    <row r="38" spans="11:12">
      <c r="K38" s="1" t="s">
        <v>175</v>
      </c>
      <c r="L38" s="2"/>
    </row>
    <row r="39" spans="11:12">
      <c r="K39" s="1" t="s">
        <v>176</v>
      </c>
      <c r="L39" s="2"/>
    </row>
    <row r="40" spans="11:12">
      <c r="K40" s="1" t="s">
        <v>177</v>
      </c>
      <c r="L40" s="2"/>
    </row>
    <row r="41" spans="11:12">
      <c r="K41" s="1" t="s">
        <v>178</v>
      </c>
      <c r="L41" s="2"/>
    </row>
    <row r="42" spans="11:12">
      <c r="K42" s="1" t="s">
        <v>179</v>
      </c>
      <c r="L42" s="2"/>
    </row>
    <row r="43" spans="11:12">
      <c r="K43" s="1" t="s">
        <v>180</v>
      </c>
      <c r="L43" s="2"/>
    </row>
    <row r="44" spans="11:12">
      <c r="K44" s="1" t="s">
        <v>181</v>
      </c>
      <c r="L44" s="2"/>
    </row>
    <row r="45" spans="11:12">
      <c r="K45" s="1" t="s">
        <v>182</v>
      </c>
      <c r="L45" s="2"/>
    </row>
    <row r="46" spans="11:12">
      <c r="K46" s="1" t="s">
        <v>183</v>
      </c>
      <c r="L46" s="2"/>
    </row>
    <row r="47" spans="11:12">
      <c r="K47" s="1" t="s">
        <v>184</v>
      </c>
      <c r="L47" s="2"/>
    </row>
    <row r="48" spans="11:12">
      <c r="K48" s="1" t="s">
        <v>185</v>
      </c>
      <c r="L48" s="2"/>
    </row>
    <row r="49" spans="11:12">
      <c r="K49" s="1" t="s">
        <v>186</v>
      </c>
      <c r="L49" s="2"/>
    </row>
    <row r="50" spans="11:12">
      <c r="K50" s="1" t="s">
        <v>187</v>
      </c>
      <c r="L50" s="2"/>
    </row>
    <row r="51" spans="11:12">
      <c r="K51" s="1" t="s">
        <v>188</v>
      </c>
      <c r="L51" s="2"/>
    </row>
    <row r="52" spans="11:12">
      <c r="K52" s="1" t="s">
        <v>189</v>
      </c>
      <c r="L52" s="2"/>
    </row>
    <row r="53" spans="11:12">
      <c r="K53" s="1" t="s">
        <v>190</v>
      </c>
      <c r="L53" s="2"/>
    </row>
    <row r="54" spans="11:12">
      <c r="K54" s="1" t="s">
        <v>191</v>
      </c>
      <c r="L54" s="2"/>
    </row>
    <row r="55" spans="11:12">
      <c r="K55" s="1" t="s">
        <v>192</v>
      </c>
      <c r="L55" s="2"/>
    </row>
    <row r="56" spans="11:12">
      <c r="K56" s="1" t="s">
        <v>193</v>
      </c>
      <c r="L56" s="2"/>
    </row>
    <row r="57" spans="11:12">
      <c r="K57" s="1" t="s">
        <v>194</v>
      </c>
      <c r="L57" s="2"/>
    </row>
    <row r="58" spans="11:12">
      <c r="K58" s="1" t="s">
        <v>195</v>
      </c>
      <c r="L58" s="2"/>
    </row>
    <row r="59" spans="11:12">
      <c r="K59" s="1" t="s">
        <v>196</v>
      </c>
      <c r="L59" s="2"/>
    </row>
    <row r="60" spans="11:12">
      <c r="K60" s="1" t="s">
        <v>197</v>
      </c>
      <c r="L60" s="2"/>
    </row>
    <row r="61" spans="11:12">
      <c r="K61" s="1" t="s">
        <v>198</v>
      </c>
      <c r="L61" s="2"/>
    </row>
  </sheetData>
  <autoFilter ref="A17:E17" xr:uid="{A166DC9D-A943-4738-A02D-15D325905B2F}"/>
  <conditionalFormatting sqref="D9:D10 D12 A9:B9 B10:B12 D4 F4 K4:K61">
    <cfRule type="containsText" priority="58" operator="containsText" text="Pass Prenium">
      <formula>NOT(ISERROR(SEARCH("Pass Prenium",A4)))</formula>
    </cfRule>
  </conditionalFormatting>
  <conditionalFormatting sqref="A14">
    <cfRule type="containsText" priority="53" operator="containsText" text="Pass Prenium">
      <formula>NOT(ISERROR(SEARCH("Pass Prenium",A14)))</formula>
    </cfRule>
  </conditionalFormatting>
  <conditionalFormatting sqref="B14">
    <cfRule type="containsText" priority="52" operator="containsText" text="Pass Prenium">
      <formula>NOT(ISERROR(SEARCH("Pass Prenium",B14)))</formula>
    </cfRule>
  </conditionalFormatting>
  <conditionalFormatting sqref="I4:I23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D14:E14">
    <cfRule type="containsText" priority="40" operator="containsText" text="Pass Prenium">
      <formula>NOT(ISERROR(SEARCH("Pass Prenium",D14)))</formula>
    </cfRule>
  </conditionalFormatting>
  <conditionalFormatting sqref="D11">
    <cfRule type="containsText" priority="39" operator="containsText" text="Pass Prenium">
      <formula>NOT(ISERROR(SEARCH("Pass Prenium",D11)))</formula>
    </cfRule>
  </conditionalFormatting>
  <conditionalFormatting sqref="E9:E11">
    <cfRule type="containsText" priority="42" operator="containsText" text="Pass Prenium">
      <formula>NOT(ISERROR(SEARCH("Pass Prenium",E9)))</formula>
    </cfRule>
  </conditionalFormatting>
  <conditionalFormatting sqref="E12">
    <cfRule type="containsText" priority="41" operator="containsText" text="Pass Prenium">
      <formula>NOT(ISERROR(SEARCH("Pass Prenium",E12)))</formula>
    </cfRule>
  </conditionalFormatting>
  <conditionalFormatting sqref="A5:A7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7">
    <cfRule type="containsText" priority="25" operator="containsText" text="Pass Prenium">
      <formula>NOT(ISERROR(SEARCH("Pass Prenium",A4)))</formula>
    </cfRule>
  </conditionalFormatting>
  <conditionalFormatting sqref="A10:A13">
    <cfRule type="containsText" priority="30" operator="containsText" text="Pass Prenium">
      <formula>NOT(ISERROR(SEARCH("Pass Prenium",A10)))</formula>
    </cfRule>
  </conditionalFormatting>
  <conditionalFormatting sqref="C5:C7">
    <cfRule type="containsText" priority="23" operator="containsText" text="Pass Prenium">
      <formula>NOT(ISERROR(SEARCH("Pass Prenium",C5)))</formula>
    </cfRule>
  </conditionalFormatting>
  <conditionalFormatting sqref="F5:F7">
    <cfRule type="containsText" priority="22" operator="containsText" text="Pass Prenium">
      <formula>NOT(ISERROR(SEARCH("Pass Prenium",F5)))</formula>
    </cfRule>
  </conditionalFormatting>
  <conditionalFormatting sqref="E5:E7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B13">
    <cfRule type="containsText" priority="17" operator="containsText" text="Pass Prenium">
      <formula>NOT(ISERROR(SEARCH("Pass Prenium",B13)))</formula>
    </cfRule>
  </conditionalFormatting>
  <conditionalFormatting sqref="D13">
    <cfRule type="containsText" priority="16" operator="containsText" text="Pass Prenium">
      <formula>NOT(ISERROR(SEARCH("Pass Prenium",D13)))</formula>
    </cfRule>
  </conditionalFormatting>
  <conditionalFormatting sqref="D17">
    <cfRule type="containsText" priority="15" operator="containsText" text="Pass Prenium">
      <formula>NOT(ISERROR(SEARCH("Pass Prenium",D17)))</formula>
    </cfRule>
  </conditionalFormatting>
  <conditionalFormatting sqref="A17:B17">
    <cfRule type="containsText" priority="14" operator="containsText" text="Pass Prenium">
      <formula>NOT(ISERROR(SEARCH("Pass Prenium",A17)))</formula>
    </cfRule>
  </conditionalFormatting>
  <conditionalFormatting sqref="E18:E20">
    <cfRule type="containsText" priority="6" operator="containsText" text="Pass Prenium">
      <formula>NOT(ISERROR(SEARCH("Pass Prenium",E18)))</formula>
    </cfRule>
  </conditionalFormatting>
  <conditionalFormatting sqref="E17">
    <cfRule type="containsText" priority="10" operator="containsText" text="Pass Prenium">
      <formula>NOT(ISERROR(SEARCH("Pass Prenium",E17)))</formula>
    </cfRule>
  </conditionalFormatting>
  <conditionalFormatting sqref="B18:B20">
    <cfRule type="containsText" priority="9" operator="containsText" text="Pass Prenium">
      <formula>NOT(ISERROR(SEARCH("Pass Prenium",B18)))</formula>
    </cfRule>
  </conditionalFormatting>
  <conditionalFormatting sqref="A18:A20">
    <cfRule type="containsText" priority="8" operator="containsText" text="Pass Prenium">
      <formula>NOT(ISERROR(SEARCH("Pass Prenium",A18)))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E13">
    <cfRule type="containsText" priority="2" operator="containsText" text="Pass Prenium">
      <formula>NOT(ISERROR(SEARCH("Pass Prenium",E13)))</formula>
    </cfRule>
  </conditionalFormatting>
  <conditionalFormatting sqref="D18:D20">
    <cfRule type="containsText" priority="1" operator="containsText" text="Pass Prenium">
      <formula>NOT(ISERROR(SEARCH("Pass Prenium",D18)))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/>
  <sheetData>
    <row r="2" spans="2:10">
      <c r="F2" t="s">
        <v>133</v>
      </c>
    </row>
    <row r="5" spans="2:10">
      <c r="B5" s="13" t="s">
        <v>134</v>
      </c>
      <c r="D5" s="16" t="s">
        <v>147</v>
      </c>
      <c r="E5" s="17" t="s">
        <v>160</v>
      </c>
      <c r="G5" s="16" t="s">
        <v>173</v>
      </c>
      <c r="H5" s="17" t="s">
        <v>186</v>
      </c>
      <c r="J5" s="11" t="s">
        <v>199</v>
      </c>
    </row>
    <row r="6" spans="2:10">
      <c r="B6" s="14" t="s">
        <v>135</v>
      </c>
      <c r="D6" s="18" t="s">
        <v>148</v>
      </c>
      <c r="E6" s="15" t="s">
        <v>161</v>
      </c>
      <c r="G6" s="18" t="s">
        <v>174</v>
      </c>
      <c r="H6" s="15" t="s">
        <v>187</v>
      </c>
      <c r="J6" s="12" t="s">
        <v>200</v>
      </c>
    </row>
    <row r="7" spans="2:10">
      <c r="B7" s="14" t="s">
        <v>136</v>
      </c>
      <c r="D7" s="18" t="s">
        <v>149</v>
      </c>
      <c r="E7" s="15" t="s">
        <v>162</v>
      </c>
      <c r="G7" s="18" t="s">
        <v>175</v>
      </c>
      <c r="H7" s="15" t="s">
        <v>188</v>
      </c>
      <c r="J7" s="12" t="s">
        <v>201</v>
      </c>
    </row>
    <row r="8" spans="2:10">
      <c r="B8" s="14" t="s">
        <v>137</v>
      </c>
      <c r="D8" s="18" t="s">
        <v>150</v>
      </c>
      <c r="E8" s="15" t="s">
        <v>163</v>
      </c>
      <c r="G8" s="18" t="s">
        <v>176</v>
      </c>
      <c r="H8" s="15" t="s">
        <v>189</v>
      </c>
      <c r="J8" s="12" t="s">
        <v>202</v>
      </c>
    </row>
    <row r="9" spans="2:10">
      <c r="B9" s="14" t="s">
        <v>138</v>
      </c>
      <c r="D9" s="18" t="s">
        <v>151</v>
      </c>
      <c r="E9" s="15" t="s">
        <v>164</v>
      </c>
      <c r="G9" s="18" t="s">
        <v>177</v>
      </c>
      <c r="H9" s="15" t="s">
        <v>190</v>
      </c>
      <c r="J9" s="12" t="s">
        <v>203</v>
      </c>
    </row>
    <row r="10" spans="2:10">
      <c r="B10" s="14" t="s">
        <v>139</v>
      </c>
      <c r="D10" s="18" t="s">
        <v>152</v>
      </c>
      <c r="E10" s="15" t="s">
        <v>165</v>
      </c>
      <c r="G10" s="18" t="s">
        <v>178</v>
      </c>
      <c r="H10" s="15" t="s">
        <v>191</v>
      </c>
      <c r="J10" s="12" t="s">
        <v>204</v>
      </c>
    </row>
    <row r="11" spans="2:10">
      <c r="B11" s="14" t="s">
        <v>140</v>
      </c>
      <c r="D11" s="18" t="s">
        <v>153</v>
      </c>
      <c r="E11" s="15" t="s">
        <v>166</v>
      </c>
      <c r="G11" s="18" t="s">
        <v>179</v>
      </c>
      <c r="H11" s="15" t="s">
        <v>192</v>
      </c>
      <c r="J11" s="12" t="s">
        <v>205</v>
      </c>
    </row>
    <row r="12" spans="2:10">
      <c r="B12" s="15" t="s">
        <v>141</v>
      </c>
      <c r="D12" s="18" t="s">
        <v>154</v>
      </c>
      <c r="E12" s="15" t="s">
        <v>167</v>
      </c>
      <c r="G12" s="18" t="s">
        <v>180</v>
      </c>
      <c r="H12" s="15" t="s">
        <v>193</v>
      </c>
      <c r="J12" s="12" t="s">
        <v>206</v>
      </c>
    </row>
    <row r="13" spans="2:10">
      <c r="B13" s="15" t="s">
        <v>142</v>
      </c>
      <c r="D13" s="18" t="s">
        <v>155</v>
      </c>
      <c r="E13" s="15" t="s">
        <v>168</v>
      </c>
      <c r="G13" s="18" t="s">
        <v>181</v>
      </c>
      <c r="H13" s="15" t="s">
        <v>194</v>
      </c>
      <c r="J13" s="12" t="s">
        <v>207</v>
      </c>
    </row>
    <row r="14" spans="2:10">
      <c r="B14" s="15" t="s">
        <v>143</v>
      </c>
      <c r="D14" s="18" t="s">
        <v>156</v>
      </c>
      <c r="E14" s="15" t="s">
        <v>169</v>
      </c>
      <c r="G14" s="18" t="s">
        <v>182</v>
      </c>
      <c r="H14" s="15" t="s">
        <v>195</v>
      </c>
      <c r="J14" s="12" t="s">
        <v>208</v>
      </c>
    </row>
    <row r="15" spans="2:10">
      <c r="B15" s="15" t="s">
        <v>144</v>
      </c>
      <c r="D15" s="18" t="s">
        <v>157</v>
      </c>
      <c r="E15" s="15" t="s">
        <v>170</v>
      </c>
      <c r="G15" s="18" t="s">
        <v>183</v>
      </c>
      <c r="H15" s="15" t="s">
        <v>196</v>
      </c>
      <c r="J15" s="12" t="s">
        <v>209</v>
      </c>
    </row>
    <row r="16" spans="2:10">
      <c r="B16" s="15" t="s">
        <v>145</v>
      </c>
      <c r="D16" s="18" t="s">
        <v>158</v>
      </c>
      <c r="E16" s="15" t="s">
        <v>171</v>
      </c>
      <c r="G16" s="18" t="s">
        <v>184</v>
      </c>
      <c r="H16" s="15" t="s">
        <v>197</v>
      </c>
      <c r="J16" s="12" t="s">
        <v>210</v>
      </c>
    </row>
    <row r="17" spans="2:10">
      <c r="B17" s="15" t="s">
        <v>146</v>
      </c>
      <c r="D17" s="18" t="s">
        <v>159</v>
      </c>
      <c r="E17" s="15" t="s">
        <v>172</v>
      </c>
      <c r="G17" s="18" t="s">
        <v>185</v>
      </c>
      <c r="H17" s="15" t="s">
        <v>198</v>
      </c>
      <c r="J17" s="12" t="s">
        <v>211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D20" sqref="D20"/>
    </sheetView>
  </sheetViews>
  <sheetFormatPr baseColWidth="10" defaultRowHeight="14.25"/>
  <sheetData>
    <row r="2" spans="2:15">
      <c r="G2" s="109" t="s">
        <v>105</v>
      </c>
      <c r="H2" s="109"/>
      <c r="I2" s="109"/>
    </row>
    <row r="3" spans="2:15" ht="15" thickBot="1">
      <c r="G3" s="112" t="s">
        <v>48</v>
      </c>
      <c r="H3" s="113" t="s">
        <v>52</v>
      </c>
      <c r="I3" s="114" t="s">
        <v>57</v>
      </c>
    </row>
    <row r="4" spans="2:15" ht="15" thickTop="1">
      <c r="G4" s="110"/>
      <c r="H4" s="111"/>
      <c r="I4" s="45"/>
    </row>
    <row r="7" spans="2:15" ht="15" thickBot="1">
      <c r="B7" s="109" t="s">
        <v>118</v>
      </c>
      <c r="C7" s="109"/>
      <c r="D7" s="109"/>
      <c r="E7" s="109"/>
      <c r="G7" s="109" t="s">
        <v>119</v>
      </c>
      <c r="H7" s="109"/>
      <c r="I7" s="109"/>
      <c r="J7" s="109"/>
      <c r="L7" s="109" t="s">
        <v>120</v>
      </c>
      <c r="M7" s="109"/>
      <c r="N7" s="109"/>
      <c r="O7" s="109"/>
    </row>
    <row r="8" spans="2:15" ht="15" thickBot="1">
      <c r="B8" s="115" t="s">
        <v>89</v>
      </c>
      <c r="C8" s="115" t="s">
        <v>48</v>
      </c>
      <c r="D8" s="115" t="s">
        <v>52</v>
      </c>
      <c r="E8" s="115" t="s">
        <v>57</v>
      </c>
      <c r="G8" s="115" t="s">
        <v>89</v>
      </c>
      <c r="H8" s="115" t="s">
        <v>48</v>
      </c>
      <c r="I8" s="115" t="s">
        <v>52</v>
      </c>
      <c r="J8" s="115" t="s">
        <v>57</v>
      </c>
      <c r="L8" s="115" t="s">
        <v>89</v>
      </c>
      <c r="M8" s="115" t="s">
        <v>48</v>
      </c>
      <c r="N8" s="115" t="s">
        <v>52</v>
      </c>
      <c r="O8" s="115" t="s">
        <v>57</v>
      </c>
    </row>
    <row r="9" spans="2:15" ht="15" thickBot="1">
      <c r="B9" s="115" t="s">
        <v>83</v>
      </c>
      <c r="C9" s="46"/>
      <c r="D9" s="46"/>
      <c r="E9" s="46" t="s">
        <v>47</v>
      </c>
      <c r="G9" s="115" t="s">
        <v>83</v>
      </c>
      <c r="H9" s="46"/>
      <c r="I9" s="46"/>
      <c r="J9" s="46"/>
      <c r="L9" s="115" t="s">
        <v>83</v>
      </c>
      <c r="M9" s="46"/>
      <c r="N9" s="46"/>
      <c r="O9" s="46"/>
    </row>
    <row r="10" spans="2:15" ht="15" thickBot="1">
      <c r="B10" s="115" t="s">
        <v>84</v>
      </c>
      <c r="C10" s="45"/>
      <c r="D10" s="45"/>
      <c r="E10" s="45"/>
      <c r="G10" s="115" t="s">
        <v>84</v>
      </c>
      <c r="H10" s="45"/>
      <c r="I10" s="45"/>
      <c r="J10" s="45"/>
      <c r="L10" s="115" t="s">
        <v>84</v>
      </c>
      <c r="M10" s="45"/>
      <c r="N10" s="45"/>
      <c r="O10" s="45"/>
    </row>
    <row r="11" spans="2:15" ht="15" thickBot="1">
      <c r="B11" s="115" t="s">
        <v>85</v>
      </c>
      <c r="C11" s="46"/>
      <c r="D11" s="46"/>
      <c r="E11" s="46"/>
      <c r="G11" s="115" t="s">
        <v>85</v>
      </c>
      <c r="H11" s="46"/>
      <c r="I11" s="46"/>
      <c r="J11" s="46"/>
      <c r="L11" s="115" t="s">
        <v>85</v>
      </c>
      <c r="M11" s="46"/>
      <c r="N11" s="46"/>
      <c r="O11" s="46"/>
    </row>
    <row r="12" spans="2:15" ht="15" thickBot="1">
      <c r="B12" s="115" t="s">
        <v>86</v>
      </c>
      <c r="C12" s="45"/>
      <c r="D12" s="45"/>
      <c r="E12" s="45"/>
      <c r="G12" s="115" t="s">
        <v>86</v>
      </c>
      <c r="H12" s="45"/>
      <c r="I12" s="45"/>
      <c r="J12" s="45"/>
      <c r="L12" s="115" t="s">
        <v>86</v>
      </c>
      <c r="M12" s="45"/>
      <c r="N12" s="45"/>
      <c r="O12" s="45"/>
    </row>
    <row r="13" spans="2:15" ht="15" thickBot="1">
      <c r="B13" s="115" t="s">
        <v>87</v>
      </c>
      <c r="C13" s="46"/>
      <c r="D13" s="46"/>
      <c r="E13" s="46"/>
      <c r="G13" s="115" t="s">
        <v>87</v>
      </c>
      <c r="H13" s="46"/>
      <c r="I13" s="46"/>
      <c r="J13" s="46"/>
      <c r="L13" s="115" t="s">
        <v>87</v>
      </c>
      <c r="M13" s="46"/>
      <c r="N13" s="46"/>
      <c r="O13" s="46"/>
    </row>
    <row r="14" spans="2:15" ht="15" thickBot="1">
      <c r="B14" s="115" t="s">
        <v>88</v>
      </c>
      <c r="C14" s="45"/>
      <c r="D14" s="45"/>
      <c r="E14" s="45"/>
      <c r="G14" s="115" t="s">
        <v>88</v>
      </c>
      <c r="H14" s="45"/>
      <c r="I14" s="45"/>
      <c r="J14" s="45"/>
      <c r="L14" s="115" t="s">
        <v>88</v>
      </c>
      <c r="M14" s="45"/>
      <c r="N14" s="45"/>
      <c r="O14" s="45"/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J33"/>
  <sheetViews>
    <sheetView showGridLines="0" workbookViewId="0">
      <selection activeCell="I14" sqref="I14"/>
    </sheetView>
  </sheetViews>
  <sheetFormatPr baseColWidth="10" defaultRowHeight="14.25"/>
  <cols>
    <col min="4" max="4" width="19.375" bestFit="1" customWidth="1"/>
  </cols>
  <sheetData>
    <row r="2" spans="4:10" ht="15" thickBot="1">
      <c r="D2" s="119" t="s">
        <v>246</v>
      </c>
      <c r="F2" s="119" t="s">
        <v>94</v>
      </c>
      <c r="H2" s="119" t="s">
        <v>81</v>
      </c>
      <c r="I2" s="119" t="s">
        <v>82</v>
      </c>
      <c r="J2" s="119" t="s">
        <v>99</v>
      </c>
    </row>
    <row r="3" spans="4:10" ht="15" thickTop="1">
      <c r="D3" s="118">
        <v>1</v>
      </c>
      <c r="F3" s="118" t="s">
        <v>47</v>
      </c>
      <c r="H3" s="118" t="s">
        <v>48</v>
      </c>
      <c r="I3" s="118" t="s">
        <v>118</v>
      </c>
      <c r="J3" s="118" t="s">
        <v>83</v>
      </c>
    </row>
    <row r="4" spans="4:10">
      <c r="D4" s="116">
        <v>2</v>
      </c>
      <c r="F4" s="116" t="s">
        <v>49</v>
      </c>
      <c r="H4" s="116" t="s">
        <v>52</v>
      </c>
      <c r="I4" s="116" t="s">
        <v>119</v>
      </c>
      <c r="J4" s="116" t="s">
        <v>84</v>
      </c>
    </row>
    <row r="5" spans="4:10">
      <c r="D5" s="117">
        <v>3</v>
      </c>
      <c r="F5" s="117" t="s">
        <v>50</v>
      </c>
      <c r="H5" s="117" t="s">
        <v>57</v>
      </c>
      <c r="I5" s="117" t="s">
        <v>120</v>
      </c>
      <c r="J5" s="117" t="s">
        <v>85</v>
      </c>
    </row>
    <row r="6" spans="4:10">
      <c r="D6" s="116">
        <v>4</v>
      </c>
      <c r="F6" s="116" t="s">
        <v>51</v>
      </c>
      <c r="J6" s="116" t="s">
        <v>86</v>
      </c>
    </row>
    <row r="7" spans="4:10">
      <c r="F7" s="117" t="s">
        <v>53</v>
      </c>
      <c r="J7" s="117" t="s">
        <v>87</v>
      </c>
    </row>
    <row r="8" spans="4:10">
      <c r="F8" s="116" t="s">
        <v>54</v>
      </c>
      <c r="J8" s="116" t="s">
        <v>88</v>
      </c>
    </row>
    <row r="9" spans="4:10">
      <c r="F9" s="117" t="s">
        <v>55</v>
      </c>
    </row>
    <row r="10" spans="4:10">
      <c r="F10" s="116" t="s">
        <v>56</v>
      </c>
    </row>
    <row r="11" spans="4:10">
      <c r="F11" s="117" t="s">
        <v>58</v>
      </c>
    </row>
    <row r="12" spans="4:10">
      <c r="F12" s="116" t="s">
        <v>59</v>
      </c>
    </row>
    <row r="13" spans="4:10">
      <c r="F13" s="117" t="s">
        <v>60</v>
      </c>
    </row>
    <row r="14" spans="4:10">
      <c r="F14" s="116" t="s">
        <v>61</v>
      </c>
    </row>
    <row r="15" spans="4:10">
      <c r="F15" s="117" t="s">
        <v>62</v>
      </c>
    </row>
    <row r="16" spans="4:10">
      <c r="F16" s="116" t="s">
        <v>63</v>
      </c>
    </row>
    <row r="17" spans="6:6">
      <c r="F17" s="117" t="s">
        <v>64</v>
      </c>
    </row>
    <row r="18" spans="6:6">
      <c r="F18" s="116" t="s">
        <v>65</v>
      </c>
    </row>
    <row r="19" spans="6:6">
      <c r="F19" s="117" t="s">
        <v>66</v>
      </c>
    </row>
    <row r="20" spans="6:6">
      <c r="F20" s="116" t="s">
        <v>67</v>
      </c>
    </row>
    <row r="21" spans="6:6">
      <c r="F21" s="117" t="s">
        <v>68</v>
      </c>
    </row>
    <row r="22" spans="6:6">
      <c r="F22" s="116" t="s">
        <v>69</v>
      </c>
    </row>
    <row r="23" spans="6:6">
      <c r="F23" s="117" t="s">
        <v>70</v>
      </c>
    </row>
    <row r="24" spans="6:6">
      <c r="F24" s="116" t="s">
        <v>71</v>
      </c>
    </row>
    <row r="25" spans="6:6">
      <c r="F25" s="117" t="s">
        <v>72</v>
      </c>
    </row>
    <row r="26" spans="6:6">
      <c r="F26" s="116" t="s">
        <v>73</v>
      </c>
    </row>
    <row r="27" spans="6:6">
      <c r="F27" s="117" t="s">
        <v>74</v>
      </c>
    </row>
    <row r="28" spans="6:6">
      <c r="F28" s="116" t="s">
        <v>75</v>
      </c>
    </row>
    <row r="29" spans="6:6">
      <c r="F29" s="117" t="s">
        <v>76</v>
      </c>
    </row>
    <row r="30" spans="6:6">
      <c r="F30" s="116" t="s">
        <v>77</v>
      </c>
    </row>
    <row r="31" spans="6:6">
      <c r="F31" s="117" t="s">
        <v>78</v>
      </c>
    </row>
    <row r="32" spans="6:6">
      <c r="F32" s="116" t="s">
        <v>79</v>
      </c>
    </row>
    <row r="33" spans="6:6">
      <c r="F33" s="117" t="s">
        <v>80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A1"/>
  <sheetViews>
    <sheetView showGridLines="0" topLeftCell="A10" workbookViewId="0">
      <selection activeCell="I28" sqref="I28"/>
    </sheetView>
  </sheetViews>
  <sheetFormatPr baseColWidth="10" defaultRowHeight="14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/>
  <dimension ref="A2:G19"/>
  <sheetViews>
    <sheetView showGridLines="0" topLeftCell="D1" workbookViewId="0">
      <selection activeCell="C25" sqref="C25"/>
    </sheetView>
  </sheetViews>
  <sheetFormatPr baseColWidth="10" defaultRowHeight="14.25"/>
  <cols>
    <col min="4" max="4" width="11.5" customWidth="1"/>
    <col min="7" max="7" width="18.25" bestFit="1" customWidth="1"/>
  </cols>
  <sheetData>
    <row r="2" spans="1:7" ht="40.9" customHeight="1"/>
    <row r="4" spans="1:7" ht="15.75">
      <c r="A4" s="169" t="s">
        <v>22</v>
      </c>
      <c r="B4" s="132" t="s">
        <v>222</v>
      </c>
      <c r="C4" s="133" t="s">
        <v>254</v>
      </c>
      <c r="D4" s="134" t="s">
        <v>255</v>
      </c>
      <c r="E4" s="132" t="s">
        <v>25</v>
      </c>
      <c r="F4" s="134" t="s">
        <v>256</v>
      </c>
      <c r="G4" s="170" t="s">
        <v>257</v>
      </c>
    </row>
    <row r="5" spans="1:7">
      <c r="A5" s="165" t="s">
        <v>258</v>
      </c>
      <c r="B5" s="135"/>
      <c r="C5" s="135"/>
      <c r="D5" s="135" t="s">
        <v>259</v>
      </c>
      <c r="E5" s="135"/>
      <c r="F5" s="135"/>
      <c r="G5" s="166" t="s">
        <v>260</v>
      </c>
    </row>
    <row r="6" spans="1:7">
      <c r="A6" s="165" t="s">
        <v>261</v>
      </c>
      <c r="B6" s="135"/>
      <c r="C6" s="135"/>
      <c r="D6" s="135" t="s">
        <v>262</v>
      </c>
      <c r="E6" s="135"/>
      <c r="F6" s="135"/>
      <c r="G6" s="166" t="s">
        <v>263</v>
      </c>
    </row>
    <row r="7" spans="1:7">
      <c r="A7" s="165" t="s">
        <v>264</v>
      </c>
      <c r="B7" s="135"/>
      <c r="C7" s="135"/>
      <c r="D7" s="135" t="s">
        <v>265</v>
      </c>
      <c r="E7" s="135"/>
      <c r="F7" s="135"/>
      <c r="G7" s="166" t="s">
        <v>266</v>
      </c>
    </row>
    <row r="8" spans="1:7">
      <c r="A8" s="165" t="s">
        <v>267</v>
      </c>
      <c r="B8" s="135"/>
      <c r="C8" s="135"/>
      <c r="D8" s="135" t="s">
        <v>268</v>
      </c>
      <c r="E8" s="135"/>
      <c r="F8" s="135"/>
      <c r="G8" s="166" t="s">
        <v>269</v>
      </c>
    </row>
    <row r="9" spans="1:7">
      <c r="A9" s="165" t="s">
        <v>270</v>
      </c>
      <c r="B9" s="135"/>
      <c r="C9" s="135"/>
      <c r="D9" s="135" t="s">
        <v>271</v>
      </c>
      <c r="E9" s="135"/>
      <c r="F9" s="135"/>
      <c r="G9" s="166"/>
    </row>
    <row r="10" spans="1:7">
      <c r="A10" s="165" t="s">
        <v>272</v>
      </c>
      <c r="B10" s="135"/>
      <c r="C10" s="135"/>
      <c r="D10" s="135" t="s">
        <v>273</v>
      </c>
      <c r="E10" s="135"/>
      <c r="F10" s="135"/>
      <c r="G10" s="166" t="s">
        <v>274</v>
      </c>
    </row>
    <row r="11" spans="1:7">
      <c r="A11" s="165" t="s">
        <v>275</v>
      </c>
      <c r="B11" s="135"/>
      <c r="C11" s="135"/>
      <c r="D11" s="135" t="s">
        <v>276</v>
      </c>
      <c r="E11" s="135"/>
      <c r="F11" s="135"/>
      <c r="G11" s="166" t="s">
        <v>277</v>
      </c>
    </row>
    <row r="12" spans="1:7">
      <c r="A12" s="165" t="s">
        <v>278</v>
      </c>
      <c r="B12" s="135"/>
      <c r="C12" s="135"/>
      <c r="D12" s="135" t="s">
        <v>279</v>
      </c>
      <c r="E12" s="135"/>
      <c r="F12" s="135"/>
      <c r="G12" s="166" t="s">
        <v>280</v>
      </c>
    </row>
    <row r="13" spans="1:7">
      <c r="A13" s="165" t="s">
        <v>281</v>
      </c>
      <c r="B13" s="135"/>
      <c r="C13" s="135"/>
      <c r="D13" s="135" t="s">
        <v>282</v>
      </c>
      <c r="E13" s="135"/>
      <c r="F13" s="135"/>
      <c r="G13" s="166" t="s">
        <v>283</v>
      </c>
    </row>
    <row r="14" spans="1:7">
      <c r="A14" s="165" t="s">
        <v>284</v>
      </c>
      <c r="B14" s="135"/>
      <c r="C14" s="135"/>
      <c r="D14" s="135" t="s">
        <v>285</v>
      </c>
      <c r="E14" s="135"/>
      <c r="F14" s="135"/>
      <c r="G14" s="166" t="s">
        <v>286</v>
      </c>
    </row>
    <row r="15" spans="1:7">
      <c r="A15" s="165" t="s">
        <v>287</v>
      </c>
      <c r="B15" s="135"/>
      <c r="C15" s="135"/>
      <c r="D15" s="135" t="s">
        <v>288</v>
      </c>
      <c r="E15" s="135"/>
      <c r="F15" s="135"/>
      <c r="G15" s="166" t="s">
        <v>289</v>
      </c>
    </row>
    <row r="16" spans="1:7">
      <c r="A16" s="165" t="s">
        <v>290</v>
      </c>
      <c r="B16" s="135"/>
      <c r="C16" s="135"/>
      <c r="D16" s="135" t="s">
        <v>291</v>
      </c>
      <c r="E16" s="135"/>
      <c r="F16" s="135"/>
      <c r="G16" s="171"/>
    </row>
    <row r="17" spans="1:7">
      <c r="A17" s="165" t="s">
        <v>292</v>
      </c>
      <c r="B17" s="135"/>
      <c r="C17" s="135"/>
      <c r="D17" s="135" t="s">
        <v>293</v>
      </c>
      <c r="E17" s="135"/>
      <c r="F17" s="135"/>
      <c r="G17" s="171"/>
    </row>
    <row r="18" spans="1:7">
      <c r="A18" s="165" t="s">
        <v>294</v>
      </c>
      <c r="B18" s="135"/>
      <c r="C18" s="135"/>
      <c r="D18" s="135" t="s">
        <v>295</v>
      </c>
      <c r="E18" s="135"/>
      <c r="F18" s="135"/>
      <c r="G18" s="166" t="s">
        <v>296</v>
      </c>
    </row>
    <row r="19" spans="1:7">
      <c r="A19" s="167" t="s">
        <v>297</v>
      </c>
      <c r="B19" s="168"/>
      <c r="C19" s="168"/>
      <c r="D19" s="168" t="s">
        <v>298</v>
      </c>
      <c r="E19" s="168"/>
      <c r="F19" s="168"/>
      <c r="G19" s="172"/>
    </row>
  </sheetData>
  <hyperlinks>
    <hyperlink ref="G5" r:id="rId1" xr:uid="{1C3EE44F-A54D-43B3-90FF-D22CF121B03A}"/>
    <hyperlink ref="G6" r:id="rId2" xr:uid="{EA5E7091-733F-4D5A-BAD4-BF77CC6B1EFC}"/>
    <hyperlink ref="G7" r:id="rId3" xr:uid="{4FADF930-04FE-4325-8D15-2AC4153F3592}"/>
    <hyperlink ref="G10" r:id="rId4" xr:uid="{814BDA2E-CFB1-406F-AD3B-8FDD104CABB7}"/>
    <hyperlink ref="G18" r:id="rId5" xr:uid="{A33EA92A-408C-4929-B216-72F8E5F5D919}"/>
    <hyperlink ref="G8" r:id="rId6" xr:uid="{F581BC04-EDAA-49CF-BCD1-255E7ABA613E}"/>
    <hyperlink ref="G13" r:id="rId7" xr:uid="{9C0124AB-6589-408A-BE86-FFF0DC85D682}"/>
    <hyperlink ref="G15" r:id="rId8" xr:uid="{ACE4A6C4-262C-4FE5-AF32-881B30E39ED1}"/>
    <hyperlink ref="G11" r:id="rId9" xr:uid="{6991D55F-C373-4226-AAC6-8F5B0F138BA2}"/>
    <hyperlink ref="G12" r:id="rId10" xr:uid="{2D8F6718-712A-429A-BA76-59D97825629B}"/>
    <hyperlink ref="G14" r:id="rId11" xr:uid="{9EF89D3E-A7A4-4715-B6E3-C7001B3E2ED4}"/>
  </hyperlinks>
  <pageMargins left="0.7" right="0.7" top="0.75" bottom="0.75" header="0.3" footer="0.3"/>
  <drawing r:id="rId12"/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1A6C0-130F-4ED8-A0CE-F41EA65E216D}">
  <sheetPr codeName="Feuil13"/>
  <dimension ref="A2:S22"/>
  <sheetViews>
    <sheetView zoomScale="70" zoomScaleNormal="70" workbookViewId="0">
      <selection activeCell="A4" sqref="A4:P4"/>
    </sheetView>
  </sheetViews>
  <sheetFormatPr baseColWidth="10" defaultRowHeight="14.25"/>
  <cols>
    <col min="1" max="1" width="13.25" bestFit="1" customWidth="1"/>
    <col min="11" max="16" width="11.75" bestFit="1" customWidth="1"/>
    <col min="27" max="32" width="11.75" bestFit="1" customWidth="1"/>
    <col min="44" max="49" width="11.75" bestFit="1" customWidth="1"/>
  </cols>
  <sheetData>
    <row r="2" spans="1:19" ht="61.15" customHeight="1"/>
    <row r="3" spans="1:19" ht="15" thickBot="1"/>
    <row r="4" spans="1:19" ht="21" thickBot="1">
      <c r="A4" s="189" t="s">
        <v>299</v>
      </c>
      <c r="B4" s="190"/>
      <c r="C4" s="190"/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0"/>
      <c r="O4" s="190"/>
      <c r="P4" s="191"/>
    </row>
    <row r="5" spans="1:19" ht="16.5" thickBot="1">
      <c r="R5" s="136" t="s">
        <v>300</v>
      </c>
      <c r="S5" s="137" t="s">
        <v>301</v>
      </c>
    </row>
    <row r="6" spans="1:19" ht="16.5" thickBot="1">
      <c r="B6" s="138" t="s">
        <v>302</v>
      </c>
      <c r="C6" s="139">
        <v>2020</v>
      </c>
      <c r="R6" s="140" t="s">
        <v>303</v>
      </c>
      <c r="S6" s="141" t="s">
        <v>304</v>
      </c>
    </row>
    <row r="7" spans="1:19" ht="16.5" thickBot="1">
      <c r="S7" s="142" t="s">
        <v>305</v>
      </c>
    </row>
    <row r="8" spans="1:19" s="150" customFormat="1" ht="15.75">
      <c r="A8" s="143" t="s">
        <v>82</v>
      </c>
      <c r="B8" s="144" t="s">
        <v>258</v>
      </c>
      <c r="C8" s="144" t="s">
        <v>261</v>
      </c>
      <c r="D8" s="144" t="s">
        <v>264</v>
      </c>
      <c r="E8" s="145" t="s">
        <v>267</v>
      </c>
      <c r="F8" s="145" t="s">
        <v>270</v>
      </c>
      <c r="G8" s="145" t="s">
        <v>272</v>
      </c>
      <c r="H8" s="146" t="s">
        <v>275</v>
      </c>
      <c r="I8" s="146" t="s">
        <v>278</v>
      </c>
      <c r="J8" s="146" t="s">
        <v>281</v>
      </c>
      <c r="K8" s="147" t="s">
        <v>284</v>
      </c>
      <c r="L8" s="147" t="s">
        <v>287</v>
      </c>
      <c r="M8" s="147" t="s">
        <v>290</v>
      </c>
      <c r="N8" s="148" t="s">
        <v>292</v>
      </c>
      <c r="O8" s="148" t="s">
        <v>294</v>
      </c>
      <c r="P8" s="149" t="s">
        <v>297</v>
      </c>
    </row>
    <row r="9" spans="1:19" ht="15.75">
      <c r="A9" s="151">
        <f>DATE(C6,1,17)</f>
        <v>43847</v>
      </c>
      <c r="B9" s="152" t="s">
        <v>306</v>
      </c>
      <c r="C9" s="152" t="s">
        <v>306</v>
      </c>
      <c r="D9" s="152" t="s">
        <v>306</v>
      </c>
      <c r="E9" s="152" t="s">
        <v>307</v>
      </c>
      <c r="F9" s="152" t="s">
        <v>307</v>
      </c>
      <c r="G9" s="152" t="s">
        <v>307</v>
      </c>
      <c r="H9" s="152" t="s">
        <v>306</v>
      </c>
      <c r="I9" s="152" t="s">
        <v>307</v>
      </c>
      <c r="J9" s="152" t="s">
        <v>306</v>
      </c>
      <c r="K9" s="152" t="s">
        <v>306</v>
      </c>
      <c r="L9" s="152" t="s">
        <v>306</v>
      </c>
      <c r="M9" s="152" t="s">
        <v>306</v>
      </c>
      <c r="N9" s="152" t="s">
        <v>306</v>
      </c>
      <c r="O9" s="152" t="s">
        <v>306</v>
      </c>
      <c r="P9" s="153" t="s">
        <v>306</v>
      </c>
      <c r="Q9" s="154" t="str">
        <f>IF(COUNTIF(B9:P9,"Absent")&gt;=4,"X","")</f>
        <v>X</v>
      </c>
    </row>
    <row r="10" spans="1:19" ht="15.75">
      <c r="A10" s="151">
        <f>A9+1</f>
        <v>43848</v>
      </c>
      <c r="B10" s="152" t="s">
        <v>307</v>
      </c>
      <c r="C10" s="152" t="s">
        <v>307</v>
      </c>
      <c r="D10" s="152" t="s">
        <v>306</v>
      </c>
      <c r="E10" s="152" t="s">
        <v>306</v>
      </c>
      <c r="F10" s="152" t="s">
        <v>306</v>
      </c>
      <c r="G10" s="152" t="s">
        <v>306</v>
      </c>
      <c r="H10" s="152" t="s">
        <v>307</v>
      </c>
      <c r="I10" s="152" t="s">
        <v>306</v>
      </c>
      <c r="J10" s="152" t="s">
        <v>306</v>
      </c>
      <c r="K10" s="152" t="s">
        <v>306</v>
      </c>
      <c r="L10" s="152" t="s">
        <v>306</v>
      </c>
      <c r="M10" s="152" t="s">
        <v>306</v>
      </c>
      <c r="N10" s="152" t="s">
        <v>306</v>
      </c>
      <c r="O10" s="152" t="s">
        <v>306</v>
      </c>
      <c r="P10" s="153" t="s">
        <v>306</v>
      </c>
      <c r="Q10" s="154" t="str">
        <f t="shared" ref="Q10:Q11" si="0">IF(COUNTIF(B10:P10,"Absent")&gt;=4,"X","")</f>
        <v/>
      </c>
    </row>
    <row r="11" spans="1:19" ht="16.5" thickBot="1">
      <c r="A11" s="155">
        <f>A10+1</f>
        <v>43849</v>
      </c>
      <c r="B11" s="156" t="s">
        <v>306</v>
      </c>
      <c r="C11" s="156" t="s">
        <v>306</v>
      </c>
      <c r="D11" s="156" t="s">
        <v>307</v>
      </c>
      <c r="E11" s="156" t="s">
        <v>306</v>
      </c>
      <c r="F11" s="156" t="s">
        <v>306</v>
      </c>
      <c r="G11" s="156" t="s">
        <v>306</v>
      </c>
      <c r="H11" s="156" t="s">
        <v>306</v>
      </c>
      <c r="I11" s="156" t="s">
        <v>307</v>
      </c>
      <c r="J11" s="156" t="s">
        <v>307</v>
      </c>
      <c r="K11" s="156" t="s">
        <v>306</v>
      </c>
      <c r="L11" s="156" t="s">
        <v>306</v>
      </c>
      <c r="M11" s="156" t="s">
        <v>306</v>
      </c>
      <c r="N11" s="156" t="s">
        <v>306</v>
      </c>
      <c r="O11" s="156" t="s">
        <v>306</v>
      </c>
      <c r="P11" s="157" t="s">
        <v>306</v>
      </c>
      <c r="Q11" s="154" t="str">
        <f t="shared" si="0"/>
        <v/>
      </c>
    </row>
    <row r="14" spans="1:19" ht="15" thickBot="1"/>
    <row r="15" spans="1:19" ht="21" thickBot="1">
      <c r="A15" s="189" t="s">
        <v>308</v>
      </c>
      <c r="B15" s="190"/>
      <c r="C15" s="190"/>
      <c r="D15" s="190"/>
      <c r="E15" s="190"/>
      <c r="F15" s="190"/>
      <c r="G15" s="190"/>
      <c r="H15" s="190"/>
      <c r="I15" s="190"/>
      <c r="J15" s="190"/>
      <c r="K15" s="190"/>
      <c r="L15" s="190"/>
      <c r="M15" s="190"/>
      <c r="N15" s="190"/>
      <c r="O15" s="191"/>
    </row>
    <row r="16" spans="1:19" ht="15.75">
      <c r="A16" s="144" t="s">
        <v>258</v>
      </c>
      <c r="B16" s="144" t="s">
        <v>261</v>
      </c>
      <c r="C16" s="144" t="s">
        <v>264</v>
      </c>
      <c r="D16" s="144" t="s">
        <v>267</v>
      </c>
      <c r="E16" s="144" t="s">
        <v>270</v>
      </c>
      <c r="F16" s="144" t="s">
        <v>272</v>
      </c>
      <c r="G16" s="144" t="s">
        <v>309</v>
      </c>
      <c r="H16" s="144" t="s">
        <v>278</v>
      </c>
      <c r="I16" s="144" t="s">
        <v>310</v>
      </c>
      <c r="J16" s="144" t="s">
        <v>311</v>
      </c>
      <c r="K16" s="144" t="s">
        <v>312</v>
      </c>
      <c r="L16" s="144" t="s">
        <v>290</v>
      </c>
      <c r="M16" s="144" t="s">
        <v>292</v>
      </c>
      <c r="N16" s="144" t="s">
        <v>294</v>
      </c>
      <c r="O16" s="158" t="s">
        <v>297</v>
      </c>
    </row>
    <row r="17" spans="1:15" ht="15" thickBot="1">
      <c r="A17" s="159">
        <f t="shared" ref="A17:O17" si="1">COUNTIF(B8:B11,"Présent")</f>
        <v>2</v>
      </c>
      <c r="B17" s="160">
        <f t="shared" si="1"/>
        <v>2</v>
      </c>
      <c r="C17" s="160">
        <f t="shared" si="1"/>
        <v>2</v>
      </c>
      <c r="D17" s="160">
        <f t="shared" si="1"/>
        <v>2</v>
      </c>
      <c r="E17" s="160">
        <f t="shared" si="1"/>
        <v>2</v>
      </c>
      <c r="F17" s="160">
        <f t="shared" si="1"/>
        <v>2</v>
      </c>
      <c r="G17" s="160">
        <f t="shared" si="1"/>
        <v>2</v>
      </c>
      <c r="H17" s="160">
        <f t="shared" si="1"/>
        <v>1</v>
      </c>
      <c r="I17" s="160">
        <f t="shared" si="1"/>
        <v>2</v>
      </c>
      <c r="J17" s="160">
        <f t="shared" si="1"/>
        <v>3</v>
      </c>
      <c r="K17" s="160">
        <f t="shared" si="1"/>
        <v>3</v>
      </c>
      <c r="L17" s="160">
        <f t="shared" si="1"/>
        <v>3</v>
      </c>
      <c r="M17" s="160">
        <f t="shared" si="1"/>
        <v>3</v>
      </c>
      <c r="N17" s="160">
        <f t="shared" si="1"/>
        <v>3</v>
      </c>
      <c r="O17" s="161">
        <f t="shared" si="1"/>
        <v>3</v>
      </c>
    </row>
    <row r="19" spans="1:15" ht="15" thickBot="1"/>
    <row r="20" spans="1:15" ht="21" thickBot="1">
      <c r="A20" s="189" t="s">
        <v>313</v>
      </c>
      <c r="B20" s="190"/>
      <c r="C20" s="190"/>
      <c r="D20" s="190"/>
      <c r="E20" s="190"/>
      <c r="F20" s="190"/>
      <c r="G20" s="190"/>
      <c r="H20" s="190"/>
      <c r="I20" s="190"/>
      <c r="J20" s="190"/>
      <c r="K20" s="190"/>
      <c r="L20" s="190"/>
      <c r="M20" s="190"/>
      <c r="N20" s="190"/>
      <c r="O20" s="191"/>
    </row>
    <row r="21" spans="1:15" ht="15.75">
      <c r="A21" s="144" t="s">
        <v>258</v>
      </c>
      <c r="B21" s="144" t="s">
        <v>261</v>
      </c>
      <c r="C21" s="144" t="s">
        <v>264</v>
      </c>
      <c r="D21" s="144" t="s">
        <v>267</v>
      </c>
      <c r="E21" s="144" t="s">
        <v>270</v>
      </c>
      <c r="F21" s="144" t="s">
        <v>272</v>
      </c>
      <c r="G21" s="144" t="s">
        <v>309</v>
      </c>
      <c r="H21" s="144" t="s">
        <v>278</v>
      </c>
      <c r="I21" s="144" t="s">
        <v>310</v>
      </c>
      <c r="J21" s="144" t="s">
        <v>311</v>
      </c>
      <c r="K21" s="144" t="s">
        <v>312</v>
      </c>
      <c r="L21" s="144" t="s">
        <v>290</v>
      </c>
      <c r="M21" s="144" t="s">
        <v>292</v>
      </c>
      <c r="N21" s="144" t="s">
        <v>294</v>
      </c>
      <c r="O21" s="158" t="s">
        <v>297</v>
      </c>
    </row>
    <row r="22" spans="1:15" ht="15" thickBot="1">
      <c r="A22" s="159">
        <f t="shared" ref="A22:O22" si="2">COUNTIF(B8:B11,"Absent")</f>
        <v>1</v>
      </c>
      <c r="B22" s="160">
        <f t="shared" si="2"/>
        <v>1</v>
      </c>
      <c r="C22" s="160">
        <f t="shared" si="2"/>
        <v>1</v>
      </c>
      <c r="D22" s="160">
        <f t="shared" si="2"/>
        <v>1</v>
      </c>
      <c r="E22" s="160">
        <f t="shared" si="2"/>
        <v>1</v>
      </c>
      <c r="F22" s="160">
        <f t="shared" si="2"/>
        <v>1</v>
      </c>
      <c r="G22" s="160">
        <f t="shared" si="2"/>
        <v>1</v>
      </c>
      <c r="H22" s="160">
        <f t="shared" si="2"/>
        <v>2</v>
      </c>
      <c r="I22" s="160">
        <f t="shared" si="2"/>
        <v>1</v>
      </c>
      <c r="J22" s="160">
        <f t="shared" si="2"/>
        <v>0</v>
      </c>
      <c r="K22" s="160">
        <f t="shared" si="2"/>
        <v>0</v>
      </c>
      <c r="L22" s="160">
        <f t="shared" si="2"/>
        <v>0</v>
      </c>
      <c r="M22" s="160">
        <f t="shared" si="2"/>
        <v>0</v>
      </c>
      <c r="N22" s="160">
        <f t="shared" si="2"/>
        <v>0</v>
      </c>
      <c r="O22" s="161">
        <f t="shared" si="2"/>
        <v>0</v>
      </c>
    </row>
  </sheetData>
  <mergeCells count="3">
    <mergeCell ref="A4:P4"/>
    <mergeCell ref="A15:O15"/>
    <mergeCell ref="A20:O20"/>
  </mergeCells>
  <dataValidations count="1">
    <dataValidation type="list" allowBlank="1" showInputMessage="1" showErrorMessage="1" sqref="B9:P11" xr:uid="{C242552C-4E7D-47D4-BBE5-AE80C959BAEB}">
      <formula1>"Présent,Absent"</formula1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ECE5-42BF-437A-96DE-C514D0AC09B0}">
  <sheetPr codeName="Feuil14"/>
  <dimension ref="A2:D20"/>
  <sheetViews>
    <sheetView zoomScale="70" zoomScaleNormal="70" workbookViewId="0">
      <selection activeCell="D22" sqref="D22"/>
    </sheetView>
  </sheetViews>
  <sheetFormatPr baseColWidth="10" defaultRowHeight="14.25"/>
  <cols>
    <col min="1" max="1" width="23.25" customWidth="1"/>
    <col min="2" max="4" width="20.75" customWidth="1"/>
  </cols>
  <sheetData>
    <row r="2" spans="1:4" ht="43.15" customHeight="1"/>
    <row r="3" spans="1:4" ht="15" thickBot="1"/>
    <row r="4" spans="1:4" ht="21" thickBot="1">
      <c r="A4" s="192" t="s">
        <v>314</v>
      </c>
      <c r="B4" s="193"/>
      <c r="C4" s="193"/>
      <c r="D4" s="194"/>
    </row>
    <row r="6" spans="1:4">
      <c r="A6" s="162" t="s">
        <v>315</v>
      </c>
      <c r="B6" s="163">
        <f>DATE(2020,1,17)</f>
        <v>43847</v>
      </c>
      <c r="C6" s="163">
        <f>DATE(2020,1,18)</f>
        <v>43848</v>
      </c>
      <c r="D6" s="163">
        <f>DATE(2020,1,19)</f>
        <v>43849</v>
      </c>
    </row>
    <row r="7" spans="1:4">
      <c r="A7" s="162" t="s">
        <v>89</v>
      </c>
      <c r="B7" s="163" t="s">
        <v>316</v>
      </c>
      <c r="C7" s="163" t="s">
        <v>316</v>
      </c>
      <c r="D7" s="163" t="s">
        <v>316</v>
      </c>
    </row>
    <row r="8" spans="1:4">
      <c r="A8" s="164" t="s">
        <v>317</v>
      </c>
      <c r="B8" s="135">
        <v>3</v>
      </c>
      <c r="C8" s="135">
        <v>2</v>
      </c>
      <c r="D8" s="135">
        <v>1</v>
      </c>
    </row>
    <row r="9" spans="1:4">
      <c r="A9" s="164" t="s">
        <v>318</v>
      </c>
      <c r="B9" s="135">
        <v>1</v>
      </c>
      <c r="C9" s="135">
        <v>5</v>
      </c>
      <c r="D9" s="135">
        <v>3</v>
      </c>
    </row>
    <row r="10" spans="1:4">
      <c r="A10" s="164" t="s">
        <v>319</v>
      </c>
      <c r="B10" s="135">
        <v>3</v>
      </c>
      <c r="C10" s="135">
        <v>3</v>
      </c>
      <c r="D10" s="135">
        <v>3</v>
      </c>
    </row>
    <row r="11" spans="1:4">
      <c r="A11" s="164" t="s">
        <v>320</v>
      </c>
      <c r="B11" s="135">
        <v>5</v>
      </c>
      <c r="C11" s="135">
        <v>2</v>
      </c>
      <c r="D11" s="135">
        <v>5</v>
      </c>
    </row>
    <row r="12" spans="1:4">
      <c r="A12" s="164" t="s">
        <v>321</v>
      </c>
      <c r="B12" s="135">
        <f>SUM(B8:B11)</f>
        <v>12</v>
      </c>
      <c r="C12" s="135">
        <f t="shared" ref="C12:D12" si="0">SUM(C8:C11)</f>
        <v>12</v>
      </c>
      <c r="D12" s="135">
        <f t="shared" si="0"/>
        <v>12</v>
      </c>
    </row>
    <row r="17" spans="1:1">
      <c r="A17" s="164" t="s">
        <v>317</v>
      </c>
    </row>
    <row r="18" spans="1:1">
      <c r="A18" s="164" t="s">
        <v>318</v>
      </c>
    </row>
    <row r="19" spans="1:1">
      <c r="A19" s="164" t="s">
        <v>319</v>
      </c>
    </row>
    <row r="20" spans="1:1">
      <c r="A20" s="164" t="s">
        <v>320</v>
      </c>
    </row>
  </sheetData>
  <mergeCells count="1">
    <mergeCell ref="A4:D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21</vt:i4>
      </vt:variant>
    </vt:vector>
  </HeadingPairs>
  <TitlesOfParts>
    <vt:vector size="35" baseType="lpstr">
      <vt:lpstr>Menu</vt:lpstr>
      <vt:lpstr>Facture Client</vt:lpstr>
      <vt:lpstr>Historique Client</vt:lpstr>
      <vt:lpstr>Facture Musicien</vt:lpstr>
      <vt:lpstr>Gestion musiciens</vt:lpstr>
      <vt:lpstr>Billet</vt:lpstr>
      <vt:lpstr>Hébergement</vt:lpstr>
      <vt:lpstr>Gestion Hébergement</vt:lpstr>
      <vt:lpstr>Planning</vt:lpstr>
      <vt:lpstr>Paramètres</vt:lpstr>
      <vt:lpstr>Carte</vt:lpstr>
      <vt:lpstr>Données Bénévole</vt:lpstr>
      <vt:lpstr>Gestion bénévole</vt:lpstr>
      <vt:lpstr>Affectation bénévole</vt:lpstr>
      <vt:lpstr>CompteurFacture</vt:lpstr>
      <vt:lpstr>CompteurFactureMusicien</vt:lpstr>
      <vt:lpstr>liste_jour_source</vt:lpstr>
      <vt:lpstr>liste_scene_source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2020-01-28T10:55:18Z</cp:lastPrinted>
  <dcterms:created xsi:type="dcterms:W3CDTF">2020-01-17T16:23:10Z</dcterms:created>
  <dcterms:modified xsi:type="dcterms:W3CDTF">2020-01-29T08:19:56Z</dcterms:modified>
</cp:coreProperties>
</file>