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8A6F2742-0E7A-430C-AE2C-AB55698AC76C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Menu" sheetId="1" r:id="rId1"/>
    <sheet name="Billet" sheetId="2" r:id="rId2"/>
    <sheet name="Facture" sheetId="3" r:id="rId3"/>
    <sheet name="Historique Factures" sheetId="4" r:id="rId4"/>
  </sheets>
  <definedNames>
    <definedName name="source_qte_autorise">Billet!$G$19:$G$22</definedName>
    <definedName name="source_type_billet">Billet!$A$3:$A$16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5" i="4" l="1"/>
  <c r="J14" i="4"/>
  <c r="J13" i="4"/>
  <c r="J12" i="4" l="1"/>
  <c r="J11" i="4"/>
  <c r="J10" i="4"/>
  <c r="J9" i="4"/>
  <c r="J8" i="4" l="1"/>
  <c r="J7" i="4"/>
  <c r="J6" i="4" l="1"/>
  <c r="J5" i="4"/>
  <c r="J4" i="4" l="1"/>
  <c r="J3" i="4"/>
  <c r="E10" i="3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3" i="2"/>
</calcChain>
</file>

<file path=xl/sharedStrings.xml><?xml version="1.0" encoding="utf-8"?>
<sst xmlns="http://schemas.openxmlformats.org/spreadsheetml/2006/main" count="169" uniqueCount="85">
  <si>
    <t>Type_Billet</t>
  </si>
  <si>
    <t>Prix</t>
  </si>
  <si>
    <t>Disponible</t>
  </si>
  <si>
    <t>ref</t>
  </si>
  <si>
    <t>Billet Jeudi</t>
  </si>
  <si>
    <t>pass_jeudi</t>
  </si>
  <si>
    <t>Billet Vendredi</t>
  </si>
  <si>
    <t>pass_vendredi</t>
  </si>
  <si>
    <t>Billet Samedi</t>
  </si>
  <si>
    <t>pass_samedi</t>
  </si>
  <si>
    <t>Billet Dimanche</t>
  </si>
  <si>
    <t>pass_dimanche</t>
  </si>
  <si>
    <t>Pass 3 (jeu/ven/sasm)</t>
  </si>
  <si>
    <t>pass_JVS</t>
  </si>
  <si>
    <t>Pass 3 (ven/sam/dim)</t>
  </si>
  <si>
    <t>pass_VSD</t>
  </si>
  <si>
    <t>Pass 4</t>
  </si>
  <si>
    <t>pass_4</t>
  </si>
  <si>
    <t>Pass Jeudi</t>
  </si>
  <si>
    <t>pass_jeudi_vip</t>
  </si>
  <si>
    <t>Pass Vendredi</t>
  </si>
  <si>
    <t>pass_vendredi_vip</t>
  </si>
  <si>
    <t>Pass Samedi</t>
  </si>
  <si>
    <t>pass_samedi_vip</t>
  </si>
  <si>
    <t>Pass Dimanche</t>
  </si>
  <si>
    <t>pass_dimanche_vip</t>
  </si>
  <si>
    <t>pass_JVS_vip</t>
  </si>
  <si>
    <t>pass_VSD_vip</t>
  </si>
  <si>
    <t>pass_4_vip</t>
  </si>
  <si>
    <t>Reste</t>
  </si>
  <si>
    <t>vente</t>
  </si>
  <si>
    <t>Quantités autorisés</t>
  </si>
  <si>
    <t>Pass 4 vip</t>
  </si>
  <si>
    <t>FACTURE</t>
  </si>
  <si>
    <t>NOM</t>
  </si>
  <si>
    <t>PRENOM</t>
  </si>
  <si>
    <t>Billet</t>
  </si>
  <si>
    <t>Type</t>
  </si>
  <si>
    <t>Qté</t>
  </si>
  <si>
    <t>Prix à payer</t>
  </si>
  <si>
    <t>RUE</t>
  </si>
  <si>
    <t>VILLE</t>
  </si>
  <si>
    <t>MAIL</t>
  </si>
  <si>
    <t>181€</t>
  </si>
  <si>
    <t>TEL</t>
  </si>
  <si>
    <t>nom</t>
  </si>
  <si>
    <t>prénom</t>
  </si>
  <si>
    <t>rue</t>
  </si>
  <si>
    <t>ville</t>
  </si>
  <si>
    <t>mail</t>
  </si>
  <si>
    <t>tel</t>
  </si>
  <si>
    <t>billet</t>
  </si>
  <si>
    <t>prix</t>
  </si>
  <si>
    <t>qté</t>
  </si>
  <si>
    <t>Régler</t>
  </si>
  <si>
    <t>bogusz</t>
  </si>
  <si>
    <t>thierry</t>
  </si>
  <si>
    <t>f mistral</t>
  </si>
  <si>
    <t>limges</t>
  </si>
  <si>
    <t>mail@</t>
  </si>
  <si>
    <t>09999</t>
  </si>
  <si>
    <t>bogusz2</t>
  </si>
  <si>
    <t>thierry2</t>
  </si>
  <si>
    <t>f mistral2</t>
  </si>
  <si>
    <t>limges2</t>
  </si>
  <si>
    <t>mail@2</t>
  </si>
  <si>
    <t>099992</t>
  </si>
  <si>
    <t>100€</t>
  </si>
  <si>
    <t>gg</t>
  </si>
  <si>
    <t>000</t>
  </si>
  <si>
    <t>hh</t>
  </si>
  <si>
    <t/>
  </si>
  <si>
    <t>65€</t>
  </si>
  <si>
    <t>151€</t>
  </si>
  <si>
    <t>bog</t>
  </si>
  <si>
    <t>rrr</t>
  </si>
  <si>
    <t>Pass 3 vip (jeu/ven/sasm)</t>
  </si>
  <si>
    <t>Pass 3-2 vip (ven/sam/dim)</t>
  </si>
  <si>
    <t>loulou</t>
  </si>
  <si>
    <t>300€</t>
  </si>
  <si>
    <t>kkkkk</t>
  </si>
  <si>
    <t>250€</t>
  </si>
  <si>
    <t>yes</t>
  </si>
  <si>
    <t>yyyy</t>
  </si>
  <si>
    <t>ggggg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</si>
</sst>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0" fillId="4" borderId="1" xfId="0" applyFill="1" applyBorder="1"/>
    <xf numFmtId="164" fontId="0" fillId="4" borderId="1" xfId="0" applyNumberFormat="1" applyFill="1" applyBorder="1"/>
    <xf numFmtId="1" fontId="0" fillId="4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5</xdr:row>
          <xdr:rowOff>9525</xdr:rowOff>
        </xdr:from>
        <xdr:to>
          <xdr:col>4</xdr:col>
          <xdr:colOff>571500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UserFormFacture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16</xdr:row>
      <xdr:rowOff>38100</xdr:rowOff>
    </xdr:from>
    <xdr:to>
      <xdr:col>4</xdr:col>
      <xdr:colOff>457200</xdr:colOff>
      <xdr:row>19</xdr:row>
      <xdr:rowOff>180975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762375" y="3086100"/>
          <a:ext cx="209550" cy="714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19</xdr:row>
      <xdr:rowOff>38100</xdr:rowOff>
    </xdr:from>
    <xdr:to>
      <xdr:col>5</xdr:col>
      <xdr:colOff>285750</xdr:colOff>
      <xdr:row>26</xdr:row>
      <xdr:rowOff>133350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771775" y="3657600"/>
          <a:ext cx="1952625" cy="1428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 mise à jour par le</a:t>
          </a:r>
          <a:r>
            <a:rPr lang="fr-FR" sz="1100" baseline="0"/>
            <a:t> UserFormFacture</a:t>
          </a:r>
          <a:endParaRPr lang="fr-FR" sz="1100"/>
        </a:p>
      </xdr:txBody>
    </xdr:sp>
    <xdr:clientData/>
  </xdr:twoCellAnchor>
  <xdr:twoCellAnchor>
    <xdr:from>
      <xdr:col>0</xdr:col>
      <xdr:colOff>352425</xdr:colOff>
      <xdr:row>16</xdr:row>
      <xdr:rowOff>9525</xdr:rowOff>
    </xdr:from>
    <xdr:to>
      <xdr:col>0</xdr:col>
      <xdr:colOff>409575</xdr:colOff>
      <xdr:row>19</xdr:row>
      <xdr:rowOff>28575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 flipV="1">
          <a:off x="352425" y="3057525"/>
          <a:ext cx="57150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19</xdr:row>
      <xdr:rowOff>133350</xdr:rowOff>
    </xdr:from>
    <xdr:to>
      <xdr:col>2</xdr:col>
      <xdr:colOff>104775</xdr:colOff>
      <xdr:row>22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4300" y="3752850"/>
          <a:ext cx="1514475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Chaque type de billet porte un nom différent et unique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tabSelected="1" workbookViewId="0">
      <selection activeCell="H13" sqref="H13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r_facture">
                <anchor moveWithCells="1" sizeWithCells="1">
                  <from>
                    <xdr:col>2</xdr:col>
                    <xdr:colOff>704850</xdr:colOff>
                    <xdr:row>5</xdr:row>
                    <xdr:rowOff>9525</xdr:rowOff>
                  </from>
                  <to>
                    <xdr:col>4</xdr:col>
                    <xdr:colOff>571500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G22"/>
  <sheetViews>
    <sheetView workbookViewId="0">
      <selection activeCell="B13" sqref="B13"/>
    </sheetView>
  </sheetViews>
  <sheetFormatPr baseColWidth="10" defaultRowHeight="15" x14ac:dyDescent="0.25"/>
  <cols>
    <col min="1" max="1" width="20.5703125" bestFit="1" customWidth="1"/>
    <col min="4" max="4" width="18.42578125" bestFit="1" customWidth="1"/>
    <col min="5" max="5" width="13.85546875" bestFit="1" customWidth="1"/>
  </cols>
  <sheetData>
    <row r="2" spans="1:6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30</v>
      </c>
      <c r="F2" s="3" t="s">
        <v>29</v>
      </c>
    </row>
    <row r="3" spans="1:6" x14ac:dyDescent="0.25">
      <c r="A3" s="1" t="s">
        <v>4</v>
      </c>
      <c r="B3" s="2">
        <v>65</v>
      </c>
      <c r="C3" s="1">
        <v>5</v>
      </c>
      <c r="D3" s="1" t="s">
        <v>5</v>
      </c>
      <c r="E3" s="4">
        <v>4</v>
      </c>
      <c r="F3" s="1">
        <f>C3-E3</f>
        <v>1</v>
      </c>
    </row>
    <row r="4" spans="1:6" x14ac:dyDescent="0.25">
      <c r="A4" s="1" t="s">
        <v>6</v>
      </c>
      <c r="B4" s="2">
        <v>65</v>
      </c>
      <c r="C4" s="1">
        <v>15000</v>
      </c>
      <c r="D4" s="1" t="s">
        <v>7</v>
      </c>
      <c r="E4" s="4">
        <v>5</v>
      </c>
      <c r="F4" s="1">
        <f t="shared" ref="F4:F16" si="0">C4-E4</f>
        <v>14995</v>
      </c>
    </row>
    <row r="5" spans="1:6" x14ac:dyDescent="0.25">
      <c r="A5" s="1" t="s">
        <v>8</v>
      </c>
      <c r="B5" s="2">
        <v>65</v>
      </c>
      <c r="C5" s="1">
        <v>15000</v>
      </c>
      <c r="D5" s="1" t="s">
        <v>9</v>
      </c>
      <c r="E5" s="4">
        <v>4</v>
      </c>
      <c r="F5" s="1">
        <f t="shared" si="0"/>
        <v>14996</v>
      </c>
    </row>
    <row r="6" spans="1:6" x14ac:dyDescent="0.25">
      <c r="A6" s="1" t="s">
        <v>10</v>
      </c>
      <c r="B6" s="2">
        <v>65</v>
      </c>
      <c r="C6" s="1">
        <v>15000</v>
      </c>
      <c r="D6" s="1" t="s">
        <v>11</v>
      </c>
      <c r="E6" s="4"/>
      <c r="F6" s="1">
        <f t="shared" si="0"/>
        <v>15000</v>
      </c>
    </row>
    <row r="7" spans="1:6" x14ac:dyDescent="0.25">
      <c r="A7" s="1" t="s">
        <v>12</v>
      </c>
      <c r="B7" s="2">
        <v>151</v>
      </c>
      <c r="C7" s="1">
        <v>10000</v>
      </c>
      <c r="D7" s="1" t="s">
        <v>13</v>
      </c>
      <c r="E7" s="4">
        <v>7</v>
      </c>
      <c r="F7" s="1">
        <f t="shared" si="0"/>
        <v>9993</v>
      </c>
    </row>
    <row r="8" spans="1:6" x14ac:dyDescent="0.25">
      <c r="A8" s="1" t="s">
        <v>14</v>
      </c>
      <c r="B8" s="2">
        <v>151</v>
      </c>
      <c r="C8" s="1">
        <v>10000</v>
      </c>
      <c r="D8" s="1" t="s">
        <v>15</v>
      </c>
      <c r="E8" s="4">
        <v>2</v>
      </c>
      <c r="F8" s="1">
        <f t="shared" si="0"/>
        <v>9998</v>
      </c>
    </row>
    <row r="9" spans="1:6" x14ac:dyDescent="0.25">
      <c r="A9" s="1" t="s">
        <v>16</v>
      </c>
      <c r="B9" s="2">
        <v>181</v>
      </c>
      <c r="C9" s="1">
        <v>10</v>
      </c>
      <c r="D9" s="1" t="s">
        <v>17</v>
      </c>
      <c r="E9" s="4">
        <v>10</v>
      </c>
      <c r="F9" s="1">
        <f t="shared" si="0"/>
        <v>0</v>
      </c>
    </row>
    <row r="10" spans="1:6" x14ac:dyDescent="0.25">
      <c r="A10" s="1" t="s">
        <v>18</v>
      </c>
      <c r="B10" s="2">
        <v>100</v>
      </c>
      <c r="C10" s="1">
        <v>5000</v>
      </c>
      <c r="D10" s="1" t="s">
        <v>19</v>
      </c>
      <c r="E10" s="4">
        <v>2</v>
      </c>
      <c r="F10" s="1">
        <f t="shared" si="0"/>
        <v>4998</v>
      </c>
    </row>
    <row r="11" spans="1:6" x14ac:dyDescent="0.25">
      <c r="A11" s="1" t="s">
        <v>20</v>
      </c>
      <c r="B11" s="2">
        <v>100</v>
      </c>
      <c r="C11" s="1">
        <v>5000</v>
      </c>
      <c r="D11" s="1" t="s">
        <v>21</v>
      </c>
      <c r="E11" s="4"/>
      <c r="F11" s="1">
        <f t="shared" si="0"/>
        <v>5000</v>
      </c>
    </row>
    <row r="12" spans="1:6" x14ac:dyDescent="0.25">
      <c r="A12" s="1" t="s">
        <v>22</v>
      </c>
      <c r="B12" s="2">
        <v>100</v>
      </c>
      <c r="C12" s="1">
        <v>5000</v>
      </c>
      <c r="D12" s="1" t="s">
        <v>23</v>
      </c>
      <c r="E12" s="4">
        <v>3</v>
      </c>
      <c r="F12" s="1">
        <f t="shared" si="0"/>
        <v>4997</v>
      </c>
    </row>
    <row r="13" spans="1:6" x14ac:dyDescent="0.25">
      <c r="A13" s="1" t="s">
        <v>24</v>
      </c>
      <c r="B13" s="2">
        <v>100</v>
      </c>
      <c r="C13" s="1">
        <v>5000</v>
      </c>
      <c r="D13" s="1" t="s">
        <v>25</v>
      </c>
      <c r="E13" s="4">
        <v>2</v>
      </c>
      <c r="F13" s="1">
        <f t="shared" si="0"/>
        <v>4998</v>
      </c>
    </row>
    <row r="14" spans="1:6" x14ac:dyDescent="0.25">
      <c r="A14" s="1" t="s">
        <v>76</v>
      </c>
      <c r="B14" s="2">
        <v>250</v>
      </c>
      <c r="C14" s="1">
        <v>500</v>
      </c>
      <c r="D14" s="1" t="s">
        <v>26</v>
      </c>
      <c r="E14" s="4"/>
      <c r="F14" s="1">
        <f t="shared" si="0"/>
        <v>500</v>
      </c>
    </row>
    <row r="15" spans="1:6" x14ac:dyDescent="0.25">
      <c r="A15" s="1" t="s">
        <v>77</v>
      </c>
      <c r="B15" s="2">
        <v>250</v>
      </c>
      <c r="C15" s="1">
        <v>500</v>
      </c>
      <c r="D15" s="1" t="s">
        <v>27</v>
      </c>
      <c r="E15" s="4">
        <v>4</v>
      </c>
      <c r="F15" s="1">
        <f t="shared" si="0"/>
        <v>496</v>
      </c>
    </row>
    <row r="16" spans="1:6" x14ac:dyDescent="0.25">
      <c r="A16" s="1" t="s">
        <v>32</v>
      </c>
      <c r="B16" s="2">
        <v>300</v>
      </c>
      <c r="C16" s="1">
        <v>250</v>
      </c>
      <c r="D16" s="1" t="s">
        <v>28</v>
      </c>
      <c r="E16" s="4">
        <v>4</v>
      </c>
      <c r="F16" s="1">
        <f t="shared" si="0"/>
        <v>246</v>
      </c>
    </row>
    <row r="18" spans="7:7" ht="30" x14ac:dyDescent="0.25">
      <c r="G18" s="5" t="s">
        <v>31</v>
      </c>
    </row>
    <row r="19" spans="7:7" x14ac:dyDescent="0.25">
      <c r="G19">
        <v>1</v>
      </c>
    </row>
    <row r="20" spans="7:7" x14ac:dyDescent="0.25">
      <c r="G20">
        <v>2</v>
      </c>
    </row>
    <row r="21" spans="7:7" x14ac:dyDescent="0.25">
      <c r="G21">
        <v>3</v>
      </c>
    </row>
    <row r="22" spans="7:7" x14ac:dyDescent="0.25">
      <c r="G22">
        <v>4</v>
      </c>
    </row>
  </sheetData>
  <sheetProtection algorithmName="SHA-512" hashValue="t1JNWwJqQ5MvUxGWTfoQNHFteaigRyQbCL1U1Ku1cjIxbZQKii45vxGSK+a7cuGmjMT0fCyaHS5S/8c+9F/5Nw==" saltValue="5p6YiJDtyRRYyIRYTFYMtw==" spinCount="100000" sheet="1" objects="1" scenarios="1"/>
  <conditionalFormatting sqref="A2:B16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76485-2235-473C-8B72-3269130ECF2B}">
  <sheetPr codeName="Feuil3"/>
  <dimension ref="A2:E10"/>
  <sheetViews>
    <sheetView workbookViewId="0">
      <selection activeCell="E18" sqref="E18"/>
    </sheetView>
  </sheetViews>
  <sheetFormatPr baseColWidth="10" defaultRowHeight="15" x14ac:dyDescent="0.25"/>
  <sheetData>
    <row r="2" spans="1:5" x14ac:dyDescent="0.25">
      <c r="A2" s="1" t="s">
        <v>33</v>
      </c>
      <c r="B2" s="6"/>
      <c r="C2" s="7"/>
      <c r="D2" s="7"/>
      <c r="E2" s="8"/>
    </row>
    <row r="3" spans="1:5" x14ac:dyDescent="0.25">
      <c r="A3" s="1" t="s">
        <v>34</v>
      </c>
      <c r="B3" s="9" t="s">
        <v>84</v>
      </c>
      <c r="C3" s="10"/>
      <c r="D3" s="10"/>
      <c r="E3" s="11"/>
    </row>
    <row r="4" spans="1:5" x14ac:dyDescent="0.25">
      <c r="A4" s="1" t="s">
        <v>35</v>
      </c>
      <c r="B4" s="9" t="s">
        <v>71</v>
      </c>
      <c r="C4" s="10"/>
      <c r="D4" s="10"/>
      <c r="E4" s="11"/>
    </row>
    <row r="5" spans="1:5" x14ac:dyDescent="0.25">
      <c r="A5" s="1" t="s">
        <v>40</v>
      </c>
      <c r="B5" s="9" t="s">
        <v>71</v>
      </c>
      <c r="C5" s="10"/>
      <c r="D5" s="10"/>
      <c r="E5" s="11"/>
    </row>
    <row r="6" spans="1:5" x14ac:dyDescent="0.25">
      <c r="A6" s="1" t="s">
        <v>41</v>
      </c>
      <c r="B6" s="9" t="s">
        <v>71</v>
      </c>
      <c r="C6" s="10"/>
      <c r="D6" s="10"/>
      <c r="E6" s="11"/>
    </row>
    <row r="7" spans="1:5" x14ac:dyDescent="0.25">
      <c r="A7" s="1" t="s">
        <v>42</v>
      </c>
      <c r="B7" s="9" t="s">
        <v>71</v>
      </c>
      <c r="C7" s="10"/>
      <c r="D7" s="10"/>
      <c r="E7" s="11"/>
    </row>
    <row r="8" spans="1:5" x14ac:dyDescent="0.25">
      <c r="A8" s="1" t="s">
        <v>44</v>
      </c>
      <c r="B8" s="12" t="s">
        <v>71</v>
      </c>
      <c r="C8" s="13"/>
      <c r="D8" s="13"/>
      <c r="E8" s="14"/>
    </row>
    <row r="9" spans="1:5" x14ac:dyDescent="0.25">
      <c r="A9" s="15" t="s">
        <v>36</v>
      </c>
      <c r="B9" s="16" t="s">
        <v>37</v>
      </c>
      <c r="C9" s="16" t="s">
        <v>1</v>
      </c>
      <c r="D9" s="16" t="s">
        <v>38</v>
      </c>
      <c r="E9" s="16" t="s">
        <v>39</v>
      </c>
    </row>
    <row r="10" spans="1:5" x14ac:dyDescent="0.25">
      <c r="A10" s="15"/>
      <c r="B10" s="16" t="s">
        <v>8</v>
      </c>
      <c r="C10" s="17" t="s">
        <v>72</v>
      </c>
      <c r="D10" s="18">
        <v>2</v>
      </c>
      <c r="E10" s="17">
        <f>C10*D10</f>
        <v>130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C376-6543-4F74-9278-9AFED12EEE73}">
  <sheetPr codeName="Feuil4"/>
  <dimension ref="A2:J15"/>
  <sheetViews>
    <sheetView workbookViewId="0">
      <selection activeCell="A3" sqref="A3"/>
    </sheetView>
  </sheetViews>
  <sheetFormatPr baseColWidth="10" defaultRowHeight="15" x14ac:dyDescent="0.25"/>
  <sheetData>
    <row r="2" spans="1:10" x14ac:dyDescent="0.25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</row>
    <row r="3" spans="1:10" x14ac:dyDescent="0.25">
      <c r="A3" t="s">
        <v>55</v>
      </c>
      <c r="B3" t="s">
        <v>56</v>
      </c>
      <c r="C3" t="s">
        <v>57</v>
      </c>
      <c r="D3" t="s">
        <v>58</v>
      </c>
      <c r="E3" t="s">
        <v>59</v>
      </c>
      <c r="F3" t="s">
        <v>60</v>
      </c>
      <c r="G3" t="s">
        <v>16</v>
      </c>
      <c r="H3" t="s">
        <v>43</v>
      </c>
      <c r="I3">
        <v>4</v>
      </c>
      <c r="J3">
        <f t="shared" ref="J3:J8" si="0">H3*I3</f>
        <v>724</v>
      </c>
    </row>
    <row r="4" spans="1:10" x14ac:dyDescent="0.25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18</v>
      </c>
      <c r="H4" t="s">
        <v>67</v>
      </c>
      <c r="I4">
        <v>2</v>
      </c>
      <c r="J4">
        <f t="shared" si="0"/>
        <v>200</v>
      </c>
    </row>
    <row r="5" spans="1:10" x14ac:dyDescent="0.25">
      <c r="A5" t="s">
        <v>68</v>
      </c>
      <c r="B5" t="s">
        <v>68</v>
      </c>
      <c r="C5" t="s">
        <v>68</v>
      </c>
      <c r="D5" t="s">
        <v>68</v>
      </c>
      <c r="E5" t="s">
        <v>59</v>
      </c>
      <c r="F5" t="s">
        <v>69</v>
      </c>
      <c r="G5" t="s">
        <v>16</v>
      </c>
      <c r="H5" t="s">
        <v>43</v>
      </c>
      <c r="I5">
        <v>2</v>
      </c>
      <c r="J5">
        <f t="shared" si="0"/>
        <v>362</v>
      </c>
    </row>
    <row r="6" spans="1:10" x14ac:dyDescent="0.25">
      <c r="A6" t="s">
        <v>70</v>
      </c>
      <c r="B6" t="s">
        <v>70</v>
      </c>
      <c r="C6" t="s">
        <v>70</v>
      </c>
      <c r="D6" t="s">
        <v>70</v>
      </c>
      <c r="E6" t="s">
        <v>70</v>
      </c>
      <c r="F6" t="s">
        <v>70</v>
      </c>
      <c r="G6" t="s">
        <v>16</v>
      </c>
      <c r="H6" t="s">
        <v>43</v>
      </c>
      <c r="I6">
        <v>2</v>
      </c>
      <c r="J6">
        <f t="shared" si="0"/>
        <v>362</v>
      </c>
    </row>
    <row r="7" spans="1:10" x14ac:dyDescent="0.25">
      <c r="A7" t="s">
        <v>55</v>
      </c>
      <c r="B7" t="s">
        <v>71</v>
      </c>
      <c r="C7" t="s">
        <v>71</v>
      </c>
      <c r="D7" t="s">
        <v>71</v>
      </c>
      <c r="E7" t="s">
        <v>71</v>
      </c>
      <c r="F7" t="s">
        <v>71</v>
      </c>
      <c r="G7" t="s">
        <v>14</v>
      </c>
      <c r="H7" t="s">
        <v>73</v>
      </c>
      <c r="I7">
        <v>2</v>
      </c>
      <c r="J7">
        <f t="shared" si="0"/>
        <v>302</v>
      </c>
    </row>
    <row r="8" spans="1:10" x14ac:dyDescent="0.25">
      <c r="A8" t="s">
        <v>55</v>
      </c>
      <c r="B8" t="s">
        <v>71</v>
      </c>
      <c r="C8" t="s">
        <v>71</v>
      </c>
      <c r="D8" t="s">
        <v>71</v>
      </c>
      <c r="E8" t="s">
        <v>71</v>
      </c>
      <c r="F8" t="s">
        <v>71</v>
      </c>
      <c r="G8" t="s">
        <v>8</v>
      </c>
      <c r="H8" t="s">
        <v>72</v>
      </c>
      <c r="I8">
        <v>2</v>
      </c>
      <c r="J8">
        <f t="shared" si="0"/>
        <v>130</v>
      </c>
    </row>
    <row r="9" spans="1:10" x14ac:dyDescent="0.25">
      <c r="A9" t="s">
        <v>74</v>
      </c>
      <c r="B9" t="s">
        <v>71</v>
      </c>
      <c r="C9" t="s">
        <v>71</v>
      </c>
      <c r="D9" t="s">
        <v>71</v>
      </c>
      <c r="E9" t="s">
        <v>71</v>
      </c>
      <c r="F9" t="s">
        <v>71</v>
      </c>
      <c r="G9" t="s">
        <v>12</v>
      </c>
      <c r="H9" t="s">
        <v>73</v>
      </c>
      <c r="I9">
        <v>2</v>
      </c>
      <c r="J9">
        <f>H9*I9</f>
        <v>302</v>
      </c>
    </row>
    <row r="10" spans="1:10" x14ac:dyDescent="0.25">
      <c r="A10" t="s">
        <v>75</v>
      </c>
      <c r="B10" t="s">
        <v>71</v>
      </c>
      <c r="C10" t="s">
        <v>71</v>
      </c>
      <c r="D10" t="s">
        <v>71</v>
      </c>
      <c r="E10" t="s">
        <v>71</v>
      </c>
      <c r="F10" t="s">
        <v>71</v>
      </c>
      <c r="G10" t="s">
        <v>12</v>
      </c>
      <c r="H10" t="s">
        <v>73</v>
      </c>
      <c r="I10">
        <v>2</v>
      </c>
      <c r="J10">
        <f>H10*I10</f>
        <v>302</v>
      </c>
    </row>
    <row r="11" spans="1:10" x14ac:dyDescent="0.25">
      <c r="A11" t="s">
        <v>78</v>
      </c>
      <c r="B11" t="s">
        <v>71</v>
      </c>
      <c r="C11" t="s">
        <v>71</v>
      </c>
      <c r="D11" t="s">
        <v>71</v>
      </c>
      <c r="E11" t="s">
        <v>71</v>
      </c>
      <c r="F11" t="s">
        <v>71</v>
      </c>
      <c r="G11" t="s">
        <v>32</v>
      </c>
      <c r="H11" t="s">
        <v>79</v>
      </c>
      <c r="I11">
        <v>4</v>
      </c>
      <c r="J11">
        <f>H11*I11</f>
        <v>1200</v>
      </c>
    </row>
    <row r="12" spans="1:10" x14ac:dyDescent="0.25">
      <c r="A12" t="s">
        <v>80</v>
      </c>
      <c r="B12" t="s">
        <v>71</v>
      </c>
      <c r="C12" t="s">
        <v>71</v>
      </c>
      <c r="D12" t="s">
        <v>71</v>
      </c>
      <c r="E12" t="s">
        <v>71</v>
      </c>
      <c r="F12" t="s">
        <v>71</v>
      </c>
      <c r="G12" t="s">
        <v>77</v>
      </c>
      <c r="H12" t="s">
        <v>81</v>
      </c>
      <c r="I12">
        <v>4</v>
      </c>
      <c r="J12">
        <f>H12*I12</f>
        <v>1000</v>
      </c>
    </row>
    <row r="13" spans="1:10" x14ac:dyDescent="0.25">
      <c r="A13" t="s">
        <v>82</v>
      </c>
      <c r="B13" t="s">
        <v>71</v>
      </c>
      <c r="C13" t="s">
        <v>71</v>
      </c>
      <c r="D13" t="s">
        <v>71</v>
      </c>
      <c r="E13" t="s">
        <v>71</v>
      </c>
      <c r="F13" t="s">
        <v>71</v>
      </c>
      <c r="G13" t="s">
        <v>24</v>
      </c>
      <c r="H13" t="s">
        <v>67</v>
      </c>
      <c r="I13">
        <v>2</v>
      </c>
      <c r="J13">
        <f>H13*I13</f>
        <v>200</v>
      </c>
    </row>
    <row r="14" spans="1:10" x14ac:dyDescent="0.25">
      <c r="A14" t="s">
        <v>83</v>
      </c>
      <c r="B14" t="s">
        <v>71</v>
      </c>
      <c r="C14" t="s">
        <v>71</v>
      </c>
      <c r="D14" t="s">
        <v>71</v>
      </c>
      <c r="E14" t="s">
        <v>71</v>
      </c>
      <c r="F14" t="s">
        <v>71</v>
      </c>
      <c r="G14" t="s">
        <v>6</v>
      </c>
      <c r="H14" t="s">
        <v>72</v>
      </c>
      <c r="I14">
        <v>2</v>
      </c>
      <c r="J14">
        <f>H14*I14</f>
        <v>130</v>
      </c>
    </row>
    <row r="15" spans="1:10" x14ac:dyDescent="0.25">
      <c r="A15" t="s">
        <v>84</v>
      </c>
      <c r="B15" t="s">
        <v>71</v>
      </c>
      <c r="C15" t="s">
        <v>71</v>
      </c>
      <c r="D15" t="s">
        <v>71</v>
      </c>
      <c r="E15" t="s">
        <v>71</v>
      </c>
      <c r="F15" t="s">
        <v>71</v>
      </c>
      <c r="G15" t="s">
        <v>8</v>
      </c>
      <c r="H15" t="s">
        <v>72</v>
      </c>
      <c r="I15">
        <v>2</v>
      </c>
      <c r="J15">
        <f>H15*I15</f>
        <v>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Menu</vt:lpstr>
      <vt:lpstr>Billet</vt:lpstr>
      <vt:lpstr>Facture</vt:lpstr>
      <vt:lpstr>Historique Factures</vt:lpstr>
      <vt:lpstr>source_qte_autorise</vt:lpstr>
      <vt:lpstr>source_type_billet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thbogusz</dc:creator>
  <cp:lastModifiedBy>thbogusz</cp:lastModifiedBy>
  <dcterms:created xsi:type="dcterms:W3CDTF">2020-01-15T07:01:05Z</dcterms:created>
  <dcterms:modified xsi:type="dcterms:W3CDTF">2020-01-15T20:59:25Z</dcterms:modified>
</cp:coreProperties>
</file>